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lem\Downloads\"/>
    </mc:Choice>
  </mc:AlternateContent>
  <bookViews>
    <workbookView xWindow="0" yWindow="0" windowWidth="19200" windowHeight="7300" activeTab="1"/>
  </bookViews>
  <sheets>
    <sheet name="Raw_Data" sheetId="1" r:id="rId1"/>
    <sheet name="Raw_Data Cleanning" sheetId="2" r:id="rId2"/>
    <sheet name="Log " sheetId="3" r:id="rId3"/>
  </sheets>
  <definedNames>
    <definedName name="_xlnm._FilterDatabase" localSheetId="1" hidden="1">'Raw_Data Cleanning'!$A$1:$Q$1000</definedName>
  </definedNames>
  <calcPr calcId="152511"/>
</workbook>
</file>

<file path=xl/calcChain.xml><?xml version="1.0" encoding="utf-8"?>
<calcChain xmlns="http://schemas.openxmlformats.org/spreadsheetml/2006/main">
  <c r="Q416" i="2" l="1"/>
  <c r="O416" i="2"/>
  <c r="M416" i="2"/>
  <c r="E416" i="2"/>
  <c r="B416" i="2"/>
  <c r="Q415" i="2"/>
  <c r="O415" i="2"/>
  <c r="M415" i="2"/>
  <c r="E415" i="2"/>
  <c r="B415" i="2"/>
  <c r="Q414" i="2"/>
  <c r="O414" i="2"/>
  <c r="M414" i="2"/>
  <c r="E414" i="2"/>
  <c r="B414" i="2"/>
  <c r="Q413" i="2"/>
  <c r="O413" i="2"/>
  <c r="M413" i="2"/>
  <c r="E413" i="2"/>
  <c r="B413" i="2"/>
  <c r="Q412" i="2"/>
  <c r="O412" i="2"/>
  <c r="M412" i="2"/>
  <c r="E412" i="2"/>
  <c r="B412" i="2"/>
  <c r="Q411" i="2"/>
  <c r="O411" i="2"/>
  <c r="M411" i="2"/>
  <c r="E411" i="2"/>
  <c r="B411" i="2"/>
  <c r="Q410" i="2"/>
  <c r="O410" i="2"/>
  <c r="M410" i="2"/>
  <c r="E410" i="2"/>
  <c r="B410" i="2"/>
  <c r="Q409" i="2"/>
  <c r="O409" i="2"/>
  <c r="M409" i="2"/>
  <c r="E409" i="2"/>
  <c r="B409" i="2"/>
  <c r="Q408" i="2"/>
  <c r="O408" i="2"/>
  <c r="M408" i="2"/>
  <c r="E408" i="2"/>
  <c r="B408" i="2"/>
  <c r="Q407" i="2"/>
  <c r="O407" i="2"/>
  <c r="M407" i="2"/>
  <c r="E407" i="2"/>
  <c r="B407" i="2"/>
  <c r="Q406" i="2"/>
  <c r="O406" i="2"/>
  <c r="M406" i="2"/>
  <c r="E406" i="2"/>
  <c r="B406" i="2"/>
  <c r="Q405" i="2"/>
  <c r="O405" i="2"/>
  <c r="M405" i="2"/>
  <c r="E405" i="2"/>
  <c r="B405" i="2"/>
  <c r="Q404" i="2"/>
  <c r="O404" i="2"/>
  <c r="M404" i="2"/>
  <c r="E404" i="2"/>
  <c r="B404" i="2"/>
  <c r="Q403" i="2"/>
  <c r="O403" i="2"/>
  <c r="M403" i="2"/>
  <c r="E403" i="2"/>
  <c r="B403" i="2"/>
  <c r="Q402" i="2"/>
  <c r="O402" i="2"/>
  <c r="M402" i="2"/>
  <c r="E402" i="2"/>
  <c r="B402" i="2"/>
  <c r="Q401" i="2"/>
  <c r="O401" i="2"/>
  <c r="M401" i="2"/>
  <c r="K401" i="2"/>
  <c r="E401" i="2"/>
  <c r="B401" i="2"/>
  <c r="Q400" i="2"/>
  <c r="O400" i="2"/>
  <c r="M400" i="2"/>
  <c r="K400" i="2"/>
  <c r="E400" i="2"/>
  <c r="B400" i="2"/>
  <c r="Q399" i="2"/>
  <c r="O399" i="2"/>
  <c r="M399" i="2"/>
  <c r="K399" i="2"/>
  <c r="E399" i="2"/>
  <c r="B399" i="2"/>
  <c r="Q398" i="2"/>
  <c r="O398" i="2"/>
  <c r="M398" i="2"/>
  <c r="K398" i="2"/>
  <c r="E398" i="2"/>
  <c r="B398" i="2"/>
  <c r="Q397" i="2"/>
  <c r="O397" i="2"/>
  <c r="M397" i="2"/>
  <c r="K397" i="2"/>
  <c r="E397" i="2"/>
  <c r="B397" i="2"/>
  <c r="Q396" i="2"/>
  <c r="O396" i="2"/>
  <c r="M396" i="2"/>
  <c r="K396" i="2"/>
  <c r="E396" i="2"/>
  <c r="B396" i="2"/>
  <c r="Q395" i="2"/>
  <c r="O395" i="2"/>
  <c r="M395" i="2"/>
  <c r="K395" i="2"/>
  <c r="E395" i="2"/>
  <c r="B395" i="2"/>
  <c r="Q394" i="2"/>
  <c r="O394" i="2"/>
  <c r="M394" i="2"/>
  <c r="K394" i="2"/>
  <c r="E394" i="2"/>
  <c r="B394" i="2"/>
  <c r="Q393" i="2"/>
  <c r="O393" i="2"/>
  <c r="M393" i="2"/>
  <c r="K393" i="2"/>
  <c r="E393" i="2"/>
  <c r="B393" i="2"/>
  <c r="Q392" i="2"/>
  <c r="O392" i="2"/>
  <c r="M392" i="2"/>
  <c r="K392" i="2"/>
  <c r="E392" i="2"/>
  <c r="B392" i="2"/>
  <c r="Q391" i="2"/>
  <c r="O391" i="2"/>
  <c r="M391" i="2"/>
  <c r="K391" i="2"/>
  <c r="E391" i="2"/>
  <c r="B391" i="2"/>
  <c r="Q390" i="2"/>
  <c r="O390" i="2"/>
  <c r="M390" i="2"/>
  <c r="K390" i="2"/>
  <c r="E390" i="2"/>
  <c r="B390" i="2"/>
  <c r="Q389" i="2"/>
  <c r="O389" i="2"/>
  <c r="M389" i="2"/>
  <c r="K389" i="2"/>
  <c r="E389" i="2"/>
  <c r="B389" i="2"/>
  <c r="Q388" i="2"/>
  <c r="O388" i="2"/>
  <c r="M388" i="2"/>
  <c r="K388" i="2"/>
  <c r="E388" i="2"/>
  <c r="B388" i="2"/>
  <c r="Q387" i="2"/>
  <c r="O387" i="2"/>
  <c r="M387" i="2"/>
  <c r="K387" i="2"/>
  <c r="E387" i="2"/>
  <c r="B387" i="2"/>
  <c r="Q386" i="2"/>
  <c r="O386" i="2"/>
  <c r="M386" i="2"/>
  <c r="K386" i="2"/>
  <c r="E386" i="2"/>
  <c r="B386" i="2"/>
  <c r="Q385" i="2"/>
  <c r="O385" i="2"/>
  <c r="M385" i="2"/>
  <c r="K385" i="2"/>
  <c r="E385" i="2"/>
  <c r="B385" i="2"/>
  <c r="Q384" i="2"/>
  <c r="O384" i="2"/>
  <c r="M384" i="2"/>
  <c r="K384" i="2"/>
  <c r="E384" i="2"/>
  <c r="B384" i="2"/>
  <c r="Q383" i="2"/>
  <c r="O383" i="2"/>
  <c r="M383" i="2"/>
  <c r="K383" i="2"/>
  <c r="E383" i="2"/>
  <c r="B383" i="2"/>
  <c r="Q382" i="2"/>
  <c r="O382" i="2"/>
  <c r="M382" i="2"/>
  <c r="K382" i="2"/>
  <c r="E382" i="2"/>
  <c r="B382" i="2"/>
  <c r="Q381" i="2"/>
  <c r="O381" i="2"/>
  <c r="M381" i="2"/>
  <c r="K381" i="2"/>
  <c r="E381" i="2"/>
  <c r="B381" i="2"/>
  <c r="Q380" i="2"/>
  <c r="O380" i="2"/>
  <c r="M380" i="2"/>
  <c r="K380" i="2"/>
  <c r="E380" i="2"/>
  <c r="B380" i="2"/>
  <c r="Q379" i="2"/>
  <c r="O379" i="2"/>
  <c r="M379" i="2"/>
  <c r="K379" i="2"/>
  <c r="E379" i="2"/>
  <c r="B379" i="2"/>
  <c r="Q378" i="2"/>
  <c r="O378" i="2"/>
  <c r="M378" i="2"/>
  <c r="K378" i="2"/>
  <c r="E378" i="2"/>
  <c r="B378" i="2"/>
  <c r="Q377" i="2"/>
  <c r="O377" i="2"/>
  <c r="M377" i="2"/>
  <c r="K377" i="2"/>
  <c r="E377" i="2"/>
  <c r="B377" i="2"/>
  <c r="Q376" i="2"/>
  <c r="O376" i="2"/>
  <c r="M376" i="2"/>
  <c r="K376" i="2"/>
  <c r="E376" i="2"/>
  <c r="B376" i="2"/>
  <c r="Q375" i="2"/>
  <c r="O375" i="2"/>
  <c r="M375" i="2"/>
  <c r="K375" i="2"/>
  <c r="E375" i="2"/>
  <c r="B375" i="2"/>
  <c r="Q374" i="2"/>
  <c r="O374" i="2"/>
  <c r="M374" i="2"/>
  <c r="K374" i="2"/>
  <c r="E374" i="2"/>
  <c r="B374" i="2"/>
  <c r="Q373" i="2"/>
  <c r="O373" i="2"/>
  <c r="M373" i="2"/>
  <c r="K373" i="2"/>
  <c r="E373" i="2"/>
  <c r="B373" i="2"/>
  <c r="Q372" i="2"/>
  <c r="O372" i="2"/>
  <c r="M372" i="2"/>
  <c r="K372" i="2"/>
  <c r="E372" i="2"/>
  <c r="B372" i="2"/>
  <c r="Q371" i="2"/>
  <c r="O371" i="2"/>
  <c r="M371" i="2"/>
  <c r="K371" i="2"/>
  <c r="E371" i="2"/>
  <c r="B371" i="2"/>
  <c r="Q370" i="2"/>
  <c r="O370" i="2"/>
  <c r="M370" i="2"/>
  <c r="K370" i="2"/>
  <c r="E370" i="2"/>
  <c r="B370" i="2"/>
  <c r="Q369" i="2"/>
  <c r="O369" i="2"/>
  <c r="M369" i="2"/>
  <c r="K369" i="2"/>
  <c r="E369" i="2"/>
  <c r="B369" i="2"/>
  <c r="Q368" i="2"/>
  <c r="O368" i="2"/>
  <c r="M368" i="2"/>
  <c r="K368" i="2"/>
  <c r="E368" i="2"/>
  <c r="B368" i="2"/>
  <c r="Q367" i="2"/>
  <c r="O367" i="2"/>
  <c r="M367" i="2"/>
  <c r="K367" i="2"/>
  <c r="E367" i="2"/>
  <c r="B367" i="2"/>
  <c r="Q366" i="2"/>
  <c r="O366" i="2"/>
  <c r="M366" i="2"/>
  <c r="K366" i="2"/>
  <c r="E366" i="2"/>
  <c r="B366" i="2"/>
  <c r="Q365" i="2"/>
  <c r="O365" i="2"/>
  <c r="M365" i="2"/>
  <c r="K365" i="2"/>
  <c r="E365" i="2"/>
  <c r="B365" i="2"/>
  <c r="Q364" i="2"/>
  <c r="O364" i="2"/>
  <c r="M364" i="2"/>
  <c r="K364" i="2"/>
  <c r="E364" i="2"/>
  <c r="B364" i="2"/>
  <c r="Q363" i="2"/>
  <c r="O363" i="2"/>
  <c r="M363" i="2"/>
  <c r="K363" i="2"/>
  <c r="E363" i="2"/>
  <c r="B363" i="2"/>
  <c r="Q362" i="2"/>
  <c r="O362" i="2"/>
  <c r="M362" i="2"/>
  <c r="K362" i="2"/>
  <c r="E362" i="2"/>
  <c r="B362" i="2"/>
  <c r="Q361" i="2"/>
  <c r="O361" i="2"/>
  <c r="M361" i="2"/>
  <c r="K361" i="2"/>
  <c r="E361" i="2"/>
  <c r="B361" i="2"/>
  <c r="Q360" i="2"/>
  <c r="O360" i="2"/>
  <c r="M360" i="2"/>
  <c r="K360" i="2"/>
  <c r="E360" i="2"/>
  <c r="B360" i="2"/>
  <c r="Q359" i="2"/>
  <c r="O359" i="2"/>
  <c r="M359" i="2"/>
  <c r="K359" i="2"/>
  <c r="E359" i="2"/>
  <c r="B359" i="2"/>
  <c r="Q358" i="2"/>
  <c r="O358" i="2"/>
  <c r="M358" i="2"/>
  <c r="K358" i="2"/>
  <c r="E358" i="2"/>
  <c r="B358" i="2"/>
  <c r="Q357" i="2"/>
  <c r="O357" i="2"/>
  <c r="M357" i="2"/>
  <c r="K357" i="2"/>
  <c r="E357" i="2"/>
  <c r="B357" i="2"/>
  <c r="Q356" i="2"/>
  <c r="O356" i="2"/>
  <c r="M356" i="2"/>
  <c r="K356" i="2"/>
  <c r="E356" i="2"/>
  <c r="B356" i="2"/>
  <c r="Q355" i="2"/>
  <c r="O355" i="2"/>
  <c r="M355" i="2"/>
  <c r="K355" i="2"/>
  <c r="E355" i="2"/>
  <c r="B355" i="2"/>
  <c r="Q354" i="2"/>
  <c r="O354" i="2"/>
  <c r="M354" i="2"/>
  <c r="K354" i="2"/>
  <c r="E354" i="2"/>
  <c r="B354" i="2"/>
  <c r="Q353" i="2"/>
  <c r="O353" i="2"/>
  <c r="M353" i="2"/>
  <c r="K353" i="2"/>
  <c r="E353" i="2"/>
  <c r="B353" i="2"/>
  <c r="Q352" i="2"/>
  <c r="O352" i="2"/>
  <c r="M352" i="2"/>
  <c r="K352" i="2"/>
  <c r="E352" i="2"/>
  <c r="B352" i="2"/>
  <c r="Q351" i="2"/>
  <c r="O351" i="2"/>
  <c r="M351" i="2"/>
  <c r="K351" i="2"/>
  <c r="E351" i="2"/>
  <c r="B351" i="2"/>
  <c r="Q350" i="2"/>
  <c r="O350" i="2"/>
  <c r="M350" i="2"/>
  <c r="K350" i="2"/>
  <c r="E350" i="2"/>
  <c r="B350" i="2"/>
  <c r="Q349" i="2"/>
  <c r="O349" i="2"/>
  <c r="M349" i="2"/>
  <c r="K349" i="2"/>
  <c r="E349" i="2"/>
  <c r="B349" i="2"/>
  <c r="Q348" i="2"/>
  <c r="O348" i="2"/>
  <c r="M348" i="2"/>
  <c r="K348" i="2"/>
  <c r="E348" i="2"/>
  <c r="B348" i="2"/>
  <c r="Q347" i="2"/>
  <c r="O347" i="2"/>
  <c r="M347" i="2"/>
  <c r="K347" i="2"/>
  <c r="E347" i="2"/>
  <c r="B347" i="2"/>
  <c r="Q346" i="2"/>
  <c r="O346" i="2"/>
  <c r="M346" i="2"/>
  <c r="K346" i="2"/>
  <c r="E346" i="2"/>
  <c r="B346" i="2"/>
  <c r="Q345" i="2"/>
  <c r="O345" i="2"/>
  <c r="M345" i="2"/>
  <c r="K345" i="2"/>
  <c r="E345" i="2"/>
  <c r="B345" i="2"/>
  <c r="Q344" i="2"/>
  <c r="O344" i="2"/>
  <c r="M344" i="2"/>
  <c r="K344" i="2"/>
  <c r="E344" i="2"/>
  <c r="B344" i="2"/>
  <c r="Q343" i="2"/>
  <c r="O343" i="2"/>
  <c r="M343" i="2"/>
  <c r="K343" i="2"/>
  <c r="E343" i="2"/>
  <c r="B343" i="2"/>
  <c r="Q342" i="2"/>
  <c r="O342" i="2"/>
  <c r="M342" i="2"/>
  <c r="K342" i="2"/>
  <c r="E342" i="2"/>
  <c r="B342" i="2"/>
  <c r="Q341" i="2"/>
  <c r="O341" i="2"/>
  <c r="M341" i="2"/>
  <c r="K341" i="2"/>
  <c r="E341" i="2"/>
  <c r="B341" i="2"/>
  <c r="Q340" i="2"/>
  <c r="O340" i="2"/>
  <c r="M340" i="2"/>
  <c r="K340" i="2"/>
  <c r="E340" i="2"/>
  <c r="B340" i="2"/>
  <c r="Q339" i="2"/>
  <c r="O339" i="2"/>
  <c r="M339" i="2"/>
  <c r="K339" i="2"/>
  <c r="E339" i="2"/>
  <c r="B339" i="2"/>
  <c r="Q338" i="2"/>
  <c r="O338" i="2"/>
  <c r="M338" i="2"/>
  <c r="K338" i="2"/>
  <c r="E338" i="2"/>
  <c r="B338" i="2"/>
  <c r="Q337" i="2"/>
  <c r="O337" i="2"/>
  <c r="M337" i="2"/>
  <c r="K337" i="2"/>
  <c r="E337" i="2"/>
  <c r="B337" i="2"/>
  <c r="Q336" i="2"/>
  <c r="O336" i="2"/>
  <c r="M336" i="2"/>
  <c r="K336" i="2"/>
  <c r="E336" i="2"/>
  <c r="B336" i="2"/>
  <c r="Q335" i="2"/>
  <c r="O335" i="2"/>
  <c r="M335" i="2"/>
  <c r="K335" i="2"/>
  <c r="E335" i="2"/>
  <c r="B335" i="2"/>
  <c r="Q334" i="2"/>
  <c r="O334" i="2"/>
  <c r="M334" i="2"/>
  <c r="K334" i="2"/>
  <c r="E334" i="2"/>
  <c r="B334" i="2"/>
  <c r="Q333" i="2"/>
  <c r="O333" i="2"/>
  <c r="M333" i="2"/>
  <c r="K333" i="2"/>
  <c r="E333" i="2"/>
  <c r="B333" i="2"/>
  <c r="Q332" i="2"/>
  <c r="O332" i="2"/>
  <c r="M332" i="2"/>
  <c r="K332" i="2"/>
  <c r="E332" i="2"/>
  <c r="B332" i="2"/>
  <c r="Q331" i="2"/>
  <c r="O331" i="2"/>
  <c r="M331" i="2"/>
  <c r="K331" i="2"/>
  <c r="E331" i="2"/>
  <c r="B331" i="2"/>
  <c r="Q330" i="2"/>
  <c r="O330" i="2"/>
  <c r="M330" i="2"/>
  <c r="K330" i="2"/>
  <c r="E330" i="2"/>
  <c r="B330" i="2"/>
  <c r="Q329" i="2"/>
  <c r="O329" i="2"/>
  <c r="M329" i="2"/>
  <c r="K329" i="2"/>
  <c r="E329" i="2"/>
  <c r="B329" i="2"/>
  <c r="Q328" i="2"/>
  <c r="O328" i="2"/>
  <c r="M328" i="2"/>
  <c r="K328" i="2"/>
  <c r="E328" i="2"/>
  <c r="B328" i="2"/>
  <c r="Q327" i="2"/>
  <c r="O327" i="2"/>
  <c r="M327" i="2"/>
  <c r="K327" i="2"/>
  <c r="E327" i="2"/>
  <c r="B327" i="2"/>
  <c r="Q326" i="2"/>
  <c r="O326" i="2"/>
  <c r="M326" i="2"/>
  <c r="K326" i="2"/>
  <c r="E326" i="2"/>
  <c r="B326" i="2"/>
  <c r="Q325" i="2"/>
  <c r="O325" i="2"/>
  <c r="M325" i="2"/>
  <c r="K325" i="2"/>
  <c r="E325" i="2"/>
  <c r="B325" i="2"/>
  <c r="Q324" i="2"/>
  <c r="O324" i="2"/>
  <c r="M324" i="2"/>
  <c r="K324" i="2"/>
  <c r="E324" i="2"/>
  <c r="B324" i="2"/>
  <c r="Q323" i="2"/>
  <c r="O323" i="2"/>
  <c r="M323" i="2"/>
  <c r="K323" i="2"/>
  <c r="E323" i="2"/>
  <c r="B323" i="2"/>
  <c r="Q322" i="2"/>
  <c r="O322" i="2"/>
  <c r="M322" i="2"/>
  <c r="K322" i="2"/>
  <c r="E322" i="2"/>
  <c r="B322" i="2"/>
  <c r="Q321" i="2"/>
  <c r="O321" i="2"/>
  <c r="M321" i="2"/>
  <c r="K321" i="2"/>
  <c r="E321" i="2"/>
  <c r="B321" i="2"/>
  <c r="Q320" i="2"/>
  <c r="O320" i="2"/>
  <c r="M320" i="2"/>
  <c r="K320" i="2"/>
  <c r="E320" i="2"/>
  <c r="B320" i="2"/>
  <c r="Q319" i="2"/>
  <c r="O319" i="2"/>
  <c r="M319" i="2"/>
  <c r="K319" i="2"/>
  <c r="E319" i="2"/>
  <c r="B319" i="2"/>
  <c r="Q318" i="2"/>
  <c r="O318" i="2"/>
  <c r="M318" i="2"/>
  <c r="K318" i="2"/>
  <c r="E318" i="2"/>
  <c r="B318" i="2"/>
  <c r="Q317" i="2"/>
  <c r="O317" i="2"/>
  <c r="M317" i="2"/>
  <c r="K317" i="2"/>
  <c r="E317" i="2"/>
  <c r="B317" i="2"/>
  <c r="Q316" i="2"/>
  <c r="O316" i="2"/>
  <c r="M316" i="2"/>
  <c r="K316" i="2"/>
  <c r="E316" i="2"/>
  <c r="B316" i="2"/>
  <c r="Q315" i="2"/>
  <c r="O315" i="2"/>
  <c r="M315" i="2"/>
  <c r="K315" i="2"/>
  <c r="E315" i="2"/>
  <c r="B315" i="2"/>
  <c r="Q314" i="2"/>
  <c r="O314" i="2"/>
  <c r="M314" i="2"/>
  <c r="K314" i="2"/>
  <c r="E314" i="2"/>
  <c r="B314" i="2"/>
  <c r="Q313" i="2"/>
  <c r="O313" i="2"/>
  <c r="M313" i="2"/>
  <c r="K313" i="2"/>
  <c r="E313" i="2"/>
  <c r="B313" i="2"/>
  <c r="Q312" i="2"/>
  <c r="O312" i="2"/>
  <c r="M312" i="2"/>
  <c r="K312" i="2"/>
  <c r="E312" i="2"/>
  <c r="B312" i="2"/>
  <c r="Q311" i="2"/>
  <c r="O311" i="2"/>
  <c r="M311" i="2"/>
  <c r="K311" i="2"/>
  <c r="E311" i="2"/>
  <c r="B311" i="2"/>
  <c r="Q310" i="2"/>
  <c r="O310" i="2"/>
  <c r="M310" i="2"/>
  <c r="K310" i="2"/>
  <c r="E310" i="2"/>
  <c r="B310" i="2"/>
  <c r="Q309" i="2"/>
  <c r="O309" i="2"/>
  <c r="M309" i="2"/>
  <c r="K309" i="2"/>
  <c r="E309" i="2"/>
  <c r="B309" i="2"/>
  <c r="Q308" i="2"/>
  <c r="O308" i="2"/>
  <c r="M308" i="2"/>
  <c r="K308" i="2"/>
  <c r="E308" i="2"/>
  <c r="B308" i="2"/>
  <c r="Q307" i="2"/>
  <c r="O307" i="2"/>
  <c r="M307" i="2"/>
  <c r="K307" i="2"/>
  <c r="E307" i="2"/>
  <c r="B307" i="2"/>
  <c r="Q306" i="2"/>
  <c r="O306" i="2"/>
  <c r="M306" i="2"/>
  <c r="K306" i="2"/>
  <c r="E306" i="2"/>
  <c r="B306" i="2"/>
  <c r="Q305" i="2"/>
  <c r="O305" i="2"/>
  <c r="M305" i="2"/>
  <c r="K305" i="2"/>
  <c r="E305" i="2"/>
  <c r="B305" i="2"/>
  <c r="Q304" i="2"/>
  <c r="O304" i="2"/>
  <c r="M304" i="2"/>
  <c r="K304" i="2"/>
  <c r="E304" i="2"/>
  <c r="B304" i="2"/>
  <c r="Q303" i="2"/>
  <c r="O303" i="2"/>
  <c r="M303" i="2"/>
  <c r="K303" i="2"/>
  <c r="E303" i="2"/>
  <c r="B303" i="2"/>
  <c r="Q302" i="2"/>
  <c r="O302" i="2"/>
  <c r="M302" i="2"/>
  <c r="K302" i="2"/>
  <c r="E302" i="2"/>
  <c r="B302" i="2"/>
  <c r="Q301" i="2"/>
  <c r="O301" i="2"/>
  <c r="M301" i="2"/>
  <c r="K301" i="2"/>
  <c r="E301" i="2"/>
  <c r="B301" i="2"/>
  <c r="Q300" i="2"/>
  <c r="O300" i="2"/>
  <c r="M300" i="2"/>
  <c r="K300" i="2"/>
  <c r="E300" i="2"/>
  <c r="B300" i="2"/>
  <c r="Q299" i="2"/>
  <c r="O299" i="2"/>
  <c r="M299" i="2"/>
  <c r="K299" i="2"/>
  <c r="E299" i="2"/>
  <c r="B299" i="2"/>
  <c r="Q298" i="2"/>
  <c r="O298" i="2"/>
  <c r="M298" i="2"/>
  <c r="K298" i="2"/>
  <c r="E298" i="2"/>
  <c r="B298" i="2"/>
  <c r="Q297" i="2"/>
  <c r="O297" i="2"/>
  <c r="M297" i="2"/>
  <c r="K297" i="2"/>
  <c r="E297" i="2"/>
  <c r="B297" i="2"/>
  <c r="Q296" i="2"/>
  <c r="O296" i="2"/>
  <c r="M296" i="2"/>
  <c r="K296" i="2"/>
  <c r="E296" i="2"/>
  <c r="B296" i="2"/>
  <c r="Q295" i="2"/>
  <c r="O295" i="2"/>
  <c r="M295" i="2"/>
  <c r="K295" i="2"/>
  <c r="E295" i="2"/>
  <c r="B295" i="2"/>
  <c r="Q294" i="2"/>
  <c r="O294" i="2"/>
  <c r="M294" i="2"/>
  <c r="K294" i="2"/>
  <c r="E294" i="2"/>
  <c r="B294" i="2"/>
  <c r="Q293" i="2"/>
  <c r="O293" i="2"/>
  <c r="M293" i="2"/>
  <c r="K293" i="2"/>
  <c r="E293" i="2"/>
  <c r="B293" i="2"/>
  <c r="Q292" i="2"/>
  <c r="O292" i="2"/>
  <c r="M292" i="2"/>
  <c r="K292" i="2"/>
  <c r="E292" i="2"/>
  <c r="B292" i="2"/>
  <c r="Q291" i="2"/>
  <c r="O291" i="2"/>
  <c r="M291" i="2"/>
  <c r="K291" i="2"/>
  <c r="E291" i="2"/>
  <c r="B291" i="2"/>
  <c r="Q290" i="2"/>
  <c r="O290" i="2"/>
  <c r="M290" i="2"/>
  <c r="K290" i="2"/>
  <c r="E290" i="2"/>
  <c r="B290" i="2"/>
  <c r="Q289" i="2"/>
  <c r="O289" i="2"/>
  <c r="M289" i="2"/>
  <c r="K289" i="2"/>
  <c r="E289" i="2"/>
  <c r="B289" i="2"/>
  <c r="Q288" i="2"/>
  <c r="O288" i="2"/>
  <c r="M288" i="2"/>
  <c r="K288" i="2"/>
  <c r="E288" i="2"/>
  <c r="B288" i="2"/>
  <c r="Q287" i="2"/>
  <c r="O287" i="2"/>
  <c r="M287" i="2"/>
  <c r="K287" i="2"/>
  <c r="E287" i="2"/>
  <c r="B287" i="2"/>
  <c r="Q286" i="2"/>
  <c r="O286" i="2"/>
  <c r="M286" i="2"/>
  <c r="K286" i="2"/>
  <c r="E286" i="2"/>
  <c r="B286" i="2"/>
  <c r="Q285" i="2"/>
  <c r="O285" i="2"/>
  <c r="M285" i="2"/>
  <c r="K285" i="2"/>
  <c r="E285" i="2"/>
  <c r="B285" i="2"/>
  <c r="Q284" i="2"/>
  <c r="O284" i="2"/>
  <c r="M284" i="2"/>
  <c r="K284" i="2"/>
  <c r="E284" i="2"/>
  <c r="B284" i="2"/>
  <c r="Q283" i="2"/>
  <c r="O283" i="2"/>
  <c r="M283" i="2"/>
  <c r="K283" i="2"/>
  <c r="E283" i="2"/>
  <c r="B283" i="2"/>
  <c r="Q282" i="2"/>
  <c r="O282" i="2"/>
  <c r="M282" i="2"/>
  <c r="K282" i="2"/>
  <c r="E282" i="2"/>
  <c r="B282" i="2"/>
  <c r="Q281" i="2"/>
  <c r="O281" i="2"/>
  <c r="M281" i="2"/>
  <c r="K281" i="2"/>
  <c r="E281" i="2"/>
  <c r="B281" i="2"/>
  <c r="Q280" i="2"/>
  <c r="O280" i="2"/>
  <c r="M280" i="2"/>
  <c r="K280" i="2"/>
  <c r="E280" i="2"/>
  <c r="B280" i="2"/>
  <c r="Q279" i="2"/>
  <c r="O279" i="2"/>
  <c r="M279" i="2"/>
  <c r="K279" i="2"/>
  <c r="E279" i="2"/>
  <c r="B279" i="2"/>
  <c r="Q278" i="2"/>
  <c r="O278" i="2"/>
  <c r="M278" i="2"/>
  <c r="K278" i="2"/>
  <c r="E278" i="2"/>
  <c r="B278" i="2"/>
  <c r="Q277" i="2"/>
  <c r="O277" i="2"/>
  <c r="M277" i="2"/>
  <c r="K277" i="2"/>
  <c r="E277" i="2"/>
  <c r="B277" i="2"/>
  <c r="Q276" i="2"/>
  <c r="O276" i="2"/>
  <c r="M276" i="2"/>
  <c r="K276" i="2"/>
  <c r="E276" i="2"/>
  <c r="B276" i="2"/>
  <c r="Q275" i="2"/>
  <c r="O275" i="2"/>
  <c r="M275" i="2"/>
  <c r="K275" i="2"/>
  <c r="E275" i="2"/>
  <c r="B275" i="2"/>
  <c r="Q274" i="2"/>
  <c r="O274" i="2"/>
  <c r="M274" i="2"/>
  <c r="K274" i="2"/>
  <c r="E274" i="2"/>
  <c r="B274" i="2"/>
  <c r="Q273" i="2"/>
  <c r="O273" i="2"/>
  <c r="M273" i="2"/>
  <c r="K273" i="2"/>
  <c r="E273" i="2"/>
  <c r="B273" i="2"/>
  <c r="Q272" i="2"/>
  <c r="O272" i="2"/>
  <c r="M272" i="2"/>
  <c r="K272" i="2"/>
  <c r="E272" i="2"/>
  <c r="B272" i="2"/>
  <c r="Q271" i="2"/>
  <c r="O271" i="2"/>
  <c r="M271" i="2"/>
  <c r="K271" i="2"/>
  <c r="E271" i="2"/>
  <c r="B271" i="2"/>
  <c r="Q270" i="2"/>
  <c r="O270" i="2"/>
  <c r="M270" i="2"/>
  <c r="K270" i="2"/>
  <c r="E270" i="2"/>
  <c r="B270" i="2"/>
  <c r="Q269" i="2"/>
  <c r="O269" i="2"/>
  <c r="M269" i="2"/>
  <c r="K269" i="2"/>
  <c r="E269" i="2"/>
  <c r="B269" i="2"/>
  <c r="Q268" i="2"/>
  <c r="O268" i="2"/>
  <c r="M268" i="2"/>
  <c r="K268" i="2"/>
  <c r="E268" i="2"/>
  <c r="B268" i="2"/>
  <c r="Q267" i="2"/>
  <c r="O267" i="2"/>
  <c r="M267" i="2"/>
  <c r="K267" i="2"/>
  <c r="E267" i="2"/>
  <c r="B267" i="2"/>
  <c r="Q266" i="2"/>
  <c r="O266" i="2"/>
  <c r="M266" i="2"/>
  <c r="K266" i="2"/>
  <c r="E266" i="2"/>
  <c r="B266" i="2"/>
  <c r="Q265" i="2"/>
  <c r="O265" i="2"/>
  <c r="M265" i="2"/>
  <c r="K265" i="2"/>
  <c r="E265" i="2"/>
  <c r="B265" i="2"/>
  <c r="Q264" i="2"/>
  <c r="O264" i="2"/>
  <c r="M264" i="2"/>
  <c r="K264" i="2"/>
  <c r="E264" i="2"/>
  <c r="B264" i="2"/>
  <c r="Q263" i="2"/>
  <c r="O263" i="2"/>
  <c r="M263" i="2"/>
  <c r="K263" i="2"/>
  <c r="E263" i="2"/>
  <c r="B263" i="2"/>
  <c r="Q262" i="2"/>
  <c r="O262" i="2"/>
  <c r="M262" i="2"/>
  <c r="K262" i="2"/>
  <c r="E262" i="2"/>
  <c r="B262" i="2"/>
  <c r="Q261" i="2"/>
  <c r="O261" i="2"/>
  <c r="M261" i="2"/>
  <c r="K261" i="2"/>
  <c r="E261" i="2"/>
  <c r="B261" i="2"/>
  <c r="Q260" i="2"/>
  <c r="O260" i="2"/>
  <c r="M260" i="2"/>
  <c r="K260" i="2"/>
  <c r="E260" i="2"/>
  <c r="B260" i="2"/>
  <c r="Q259" i="2"/>
  <c r="O259" i="2"/>
  <c r="M259" i="2"/>
  <c r="K259" i="2"/>
  <c r="E259" i="2"/>
  <c r="B259" i="2"/>
  <c r="Q258" i="2"/>
  <c r="O258" i="2"/>
  <c r="M258" i="2"/>
  <c r="K258" i="2"/>
  <c r="E258" i="2"/>
  <c r="B258" i="2"/>
  <c r="Q257" i="2"/>
  <c r="O257" i="2"/>
  <c r="M257" i="2"/>
  <c r="K257" i="2"/>
  <c r="E257" i="2"/>
  <c r="B257" i="2"/>
  <c r="Q256" i="2"/>
  <c r="O256" i="2"/>
  <c r="M256" i="2"/>
  <c r="K256" i="2"/>
  <c r="E256" i="2"/>
  <c r="B256" i="2"/>
  <c r="Q255" i="2"/>
  <c r="O255" i="2"/>
  <c r="M255" i="2"/>
  <c r="K255" i="2"/>
  <c r="E255" i="2"/>
  <c r="B255" i="2"/>
  <c r="Q254" i="2"/>
  <c r="O254" i="2"/>
  <c r="M254" i="2"/>
  <c r="K254" i="2"/>
  <c r="E254" i="2"/>
  <c r="B254" i="2"/>
  <c r="Q253" i="2"/>
  <c r="O253" i="2"/>
  <c r="M253" i="2"/>
  <c r="K253" i="2"/>
  <c r="E253" i="2"/>
  <c r="B253" i="2"/>
  <c r="Q252" i="2"/>
  <c r="O252" i="2"/>
  <c r="M252" i="2"/>
  <c r="K252" i="2"/>
  <c r="E252" i="2"/>
  <c r="B252" i="2"/>
  <c r="Q251" i="2"/>
  <c r="O251" i="2"/>
  <c r="M251" i="2"/>
  <c r="K251" i="2"/>
  <c r="E251" i="2"/>
  <c r="B251" i="2"/>
  <c r="Q250" i="2"/>
  <c r="O250" i="2"/>
  <c r="M250" i="2"/>
  <c r="K250" i="2"/>
  <c r="E250" i="2"/>
  <c r="B250" i="2"/>
  <c r="Q249" i="2"/>
  <c r="O249" i="2"/>
  <c r="M249" i="2"/>
  <c r="K249" i="2"/>
  <c r="E249" i="2"/>
  <c r="B249" i="2"/>
  <c r="Q248" i="2"/>
  <c r="O248" i="2"/>
  <c r="M248" i="2"/>
  <c r="K248" i="2"/>
  <c r="E248" i="2"/>
  <c r="B248" i="2"/>
  <c r="Q247" i="2"/>
  <c r="O247" i="2"/>
  <c r="M247" i="2"/>
  <c r="K247" i="2"/>
  <c r="E247" i="2"/>
  <c r="B247" i="2"/>
  <c r="Q246" i="2"/>
  <c r="O246" i="2"/>
  <c r="M246" i="2"/>
  <c r="K246" i="2"/>
  <c r="E246" i="2"/>
  <c r="B246" i="2"/>
  <c r="Q245" i="2"/>
  <c r="O245" i="2"/>
  <c r="M245" i="2"/>
  <c r="K245" i="2"/>
  <c r="E245" i="2"/>
  <c r="B245" i="2"/>
  <c r="Q244" i="2"/>
  <c r="O244" i="2"/>
  <c r="M244" i="2"/>
  <c r="K244" i="2"/>
  <c r="E244" i="2"/>
  <c r="B244" i="2"/>
  <c r="Q243" i="2"/>
  <c r="O243" i="2"/>
  <c r="M243" i="2"/>
  <c r="K243" i="2"/>
  <c r="E243" i="2"/>
  <c r="B243" i="2"/>
  <c r="Q242" i="2"/>
  <c r="O242" i="2"/>
  <c r="M242" i="2"/>
  <c r="K242" i="2"/>
  <c r="E242" i="2"/>
  <c r="B242" i="2"/>
  <c r="Q241" i="2"/>
  <c r="O241" i="2"/>
  <c r="M241" i="2"/>
  <c r="K241" i="2"/>
  <c r="E241" i="2"/>
  <c r="B241" i="2"/>
  <c r="Q240" i="2"/>
  <c r="O240" i="2"/>
  <c r="M240" i="2"/>
  <c r="K240" i="2"/>
  <c r="E240" i="2"/>
  <c r="B240" i="2"/>
  <c r="Q239" i="2"/>
  <c r="O239" i="2"/>
  <c r="M239" i="2"/>
  <c r="K239" i="2"/>
  <c r="E239" i="2"/>
  <c r="B239" i="2"/>
  <c r="Q238" i="2"/>
  <c r="O238" i="2"/>
  <c r="M238" i="2"/>
  <c r="K238" i="2"/>
  <c r="E238" i="2"/>
  <c r="B238" i="2"/>
  <c r="Q237" i="2"/>
  <c r="O237" i="2"/>
  <c r="M237" i="2"/>
  <c r="K237" i="2"/>
  <c r="E237" i="2"/>
  <c r="B237" i="2"/>
  <c r="Q236" i="2"/>
  <c r="O236" i="2"/>
  <c r="M236" i="2"/>
  <c r="K236" i="2"/>
  <c r="E236" i="2"/>
  <c r="B236" i="2"/>
  <c r="Q235" i="2"/>
  <c r="O235" i="2"/>
  <c r="M235" i="2"/>
  <c r="K235" i="2"/>
  <c r="E235" i="2"/>
  <c r="B235" i="2"/>
  <c r="Q234" i="2"/>
  <c r="O234" i="2"/>
  <c r="M234" i="2"/>
  <c r="K234" i="2"/>
  <c r="E234" i="2"/>
  <c r="B234" i="2"/>
  <c r="Q233" i="2"/>
  <c r="O233" i="2"/>
  <c r="M233" i="2"/>
  <c r="K233" i="2"/>
  <c r="E233" i="2"/>
  <c r="B233" i="2"/>
  <c r="Q232" i="2"/>
  <c r="O232" i="2"/>
  <c r="M232" i="2"/>
  <c r="K232" i="2"/>
  <c r="E232" i="2"/>
  <c r="B232" i="2"/>
  <c r="Q231" i="2"/>
  <c r="O231" i="2"/>
  <c r="M231" i="2"/>
  <c r="K231" i="2"/>
  <c r="E231" i="2"/>
  <c r="B231" i="2"/>
  <c r="Q230" i="2"/>
  <c r="O230" i="2"/>
  <c r="M230" i="2"/>
  <c r="K230" i="2"/>
  <c r="E230" i="2"/>
  <c r="B230" i="2"/>
  <c r="Q229" i="2"/>
  <c r="O229" i="2"/>
  <c r="M229" i="2"/>
  <c r="K229" i="2"/>
  <c r="E229" i="2"/>
  <c r="B229" i="2"/>
  <c r="Q228" i="2"/>
  <c r="O228" i="2"/>
  <c r="M228" i="2"/>
  <c r="K228" i="2"/>
  <c r="E228" i="2"/>
  <c r="B228" i="2"/>
  <c r="Q227" i="2"/>
  <c r="O227" i="2"/>
  <c r="M227" i="2"/>
  <c r="K227" i="2"/>
  <c r="E227" i="2"/>
  <c r="B227" i="2"/>
  <c r="Q226" i="2"/>
  <c r="O226" i="2"/>
  <c r="M226" i="2"/>
  <c r="K226" i="2"/>
  <c r="E226" i="2"/>
  <c r="B226" i="2"/>
  <c r="Q225" i="2"/>
  <c r="O225" i="2"/>
  <c r="M225" i="2"/>
  <c r="K225" i="2"/>
  <c r="E225" i="2"/>
  <c r="B225" i="2"/>
  <c r="Q224" i="2"/>
  <c r="O224" i="2"/>
  <c r="M224" i="2"/>
  <c r="K224" i="2"/>
  <c r="E224" i="2"/>
  <c r="B224" i="2"/>
  <c r="Q223" i="2"/>
  <c r="O223" i="2"/>
  <c r="M223" i="2"/>
  <c r="K223" i="2"/>
  <c r="E223" i="2"/>
  <c r="B223" i="2"/>
  <c r="Q222" i="2"/>
  <c r="O222" i="2"/>
  <c r="M222" i="2"/>
  <c r="K222" i="2"/>
  <c r="E222" i="2"/>
  <c r="B222" i="2"/>
  <c r="Q221" i="2"/>
  <c r="O221" i="2"/>
  <c r="M221" i="2"/>
  <c r="K221" i="2"/>
  <c r="E221" i="2"/>
  <c r="B221" i="2"/>
  <c r="Q220" i="2"/>
  <c r="O220" i="2"/>
  <c r="M220" i="2"/>
  <c r="K220" i="2"/>
  <c r="E220" i="2"/>
  <c r="B220" i="2"/>
  <c r="Q219" i="2"/>
  <c r="O219" i="2"/>
  <c r="M219" i="2"/>
  <c r="K219" i="2"/>
  <c r="E219" i="2"/>
  <c r="B219" i="2"/>
  <c r="Q218" i="2"/>
  <c r="O218" i="2"/>
  <c r="M218" i="2"/>
  <c r="K218" i="2"/>
  <c r="E218" i="2"/>
  <c r="B218" i="2"/>
  <c r="Q217" i="2"/>
  <c r="O217" i="2"/>
  <c r="M217" i="2"/>
  <c r="K217" i="2"/>
  <c r="E217" i="2"/>
  <c r="B217" i="2"/>
  <c r="Q216" i="2"/>
  <c r="O216" i="2"/>
  <c r="M216" i="2"/>
  <c r="K216" i="2"/>
  <c r="E216" i="2"/>
  <c r="B216" i="2"/>
  <c r="Q215" i="2"/>
  <c r="O215" i="2"/>
  <c r="M215" i="2"/>
  <c r="K215" i="2"/>
  <c r="E215" i="2"/>
  <c r="B215" i="2"/>
  <c r="Q214" i="2"/>
  <c r="O214" i="2"/>
  <c r="M214" i="2"/>
  <c r="K214" i="2"/>
  <c r="E214" i="2"/>
  <c r="B214" i="2"/>
  <c r="Q213" i="2"/>
  <c r="O213" i="2"/>
  <c r="M213" i="2"/>
  <c r="K213" i="2"/>
  <c r="E213" i="2"/>
  <c r="B213" i="2"/>
  <c r="Q212" i="2"/>
  <c r="O212" i="2"/>
  <c r="M212" i="2"/>
  <c r="K212" i="2"/>
  <c r="E212" i="2"/>
  <c r="B212" i="2"/>
  <c r="Q211" i="2"/>
  <c r="O211" i="2"/>
  <c r="M211" i="2"/>
  <c r="K211" i="2"/>
  <c r="E211" i="2"/>
  <c r="B211" i="2"/>
  <c r="Q210" i="2"/>
  <c r="O210" i="2"/>
  <c r="M210" i="2"/>
  <c r="K210" i="2"/>
  <c r="E210" i="2"/>
  <c r="B210" i="2"/>
  <c r="Q209" i="2"/>
  <c r="O209" i="2"/>
  <c r="M209" i="2"/>
  <c r="K209" i="2"/>
  <c r="E209" i="2"/>
  <c r="B209" i="2"/>
  <c r="Q208" i="2"/>
  <c r="O208" i="2"/>
  <c r="M208" i="2"/>
  <c r="K208" i="2"/>
  <c r="E208" i="2"/>
  <c r="B208" i="2"/>
  <c r="Q207" i="2"/>
  <c r="O207" i="2"/>
  <c r="M207" i="2"/>
  <c r="K207" i="2"/>
  <c r="E207" i="2"/>
  <c r="B207" i="2"/>
  <c r="Q206" i="2"/>
  <c r="O206" i="2"/>
  <c r="M206" i="2"/>
  <c r="K206" i="2"/>
  <c r="E206" i="2"/>
  <c r="B206" i="2"/>
  <c r="Q205" i="2"/>
  <c r="O205" i="2"/>
  <c r="M205" i="2"/>
  <c r="K205" i="2"/>
  <c r="E205" i="2"/>
  <c r="B205" i="2"/>
  <c r="Q204" i="2"/>
  <c r="O204" i="2"/>
  <c r="M204" i="2"/>
  <c r="K204" i="2"/>
  <c r="E204" i="2"/>
  <c r="B204" i="2"/>
  <c r="Q203" i="2"/>
  <c r="O203" i="2"/>
  <c r="M203" i="2"/>
  <c r="K203" i="2"/>
  <c r="E203" i="2"/>
  <c r="B203" i="2"/>
  <c r="Q202" i="2"/>
  <c r="O202" i="2"/>
  <c r="M202" i="2"/>
  <c r="K202" i="2"/>
  <c r="E202" i="2"/>
  <c r="B202" i="2"/>
  <c r="Q201" i="2"/>
  <c r="O201" i="2"/>
  <c r="M201" i="2"/>
  <c r="K201" i="2"/>
  <c r="E201" i="2"/>
  <c r="B201" i="2"/>
  <c r="Q200" i="2"/>
  <c r="O200" i="2"/>
  <c r="M200" i="2"/>
  <c r="K200" i="2"/>
  <c r="E200" i="2"/>
  <c r="B200" i="2"/>
  <c r="Q199" i="2"/>
  <c r="O199" i="2"/>
  <c r="M199" i="2"/>
  <c r="K199" i="2"/>
  <c r="E199" i="2"/>
  <c r="B199" i="2"/>
  <c r="Q198" i="2"/>
  <c r="O198" i="2"/>
  <c r="M198" i="2"/>
  <c r="K198" i="2"/>
  <c r="E198" i="2"/>
  <c r="B198" i="2"/>
  <c r="Q197" i="2"/>
  <c r="O197" i="2"/>
  <c r="M197" i="2"/>
  <c r="K197" i="2"/>
  <c r="E197" i="2"/>
  <c r="B197" i="2"/>
  <c r="Q196" i="2"/>
  <c r="O196" i="2"/>
  <c r="M196" i="2"/>
  <c r="K196" i="2"/>
  <c r="E196" i="2"/>
  <c r="B196" i="2"/>
  <c r="Q195" i="2"/>
  <c r="O195" i="2"/>
  <c r="M195" i="2"/>
  <c r="K195" i="2"/>
  <c r="E195" i="2"/>
  <c r="B195" i="2"/>
  <c r="Q194" i="2"/>
  <c r="O194" i="2"/>
  <c r="M194" i="2"/>
  <c r="K194" i="2"/>
  <c r="E194" i="2"/>
  <c r="B194" i="2"/>
  <c r="Q193" i="2"/>
  <c r="O193" i="2"/>
  <c r="M193" i="2"/>
  <c r="K193" i="2"/>
  <c r="E193" i="2"/>
  <c r="B193" i="2"/>
  <c r="Q192" i="2"/>
  <c r="O192" i="2"/>
  <c r="M192" i="2"/>
  <c r="K192" i="2"/>
  <c r="E192" i="2"/>
  <c r="B192" i="2"/>
  <c r="Q191" i="2"/>
  <c r="O191" i="2"/>
  <c r="M191" i="2"/>
  <c r="K191" i="2"/>
  <c r="E191" i="2"/>
  <c r="B191" i="2"/>
  <c r="Q190" i="2"/>
  <c r="O190" i="2"/>
  <c r="M190" i="2"/>
  <c r="K190" i="2"/>
  <c r="E190" i="2"/>
  <c r="B190" i="2"/>
  <c r="Q189" i="2"/>
  <c r="O189" i="2"/>
  <c r="M189" i="2"/>
  <c r="K189" i="2"/>
  <c r="E189" i="2"/>
  <c r="B189" i="2"/>
  <c r="Q188" i="2"/>
  <c r="O188" i="2"/>
  <c r="M188" i="2"/>
  <c r="K188" i="2"/>
  <c r="E188" i="2"/>
  <c r="B188" i="2"/>
  <c r="Q187" i="2"/>
  <c r="O187" i="2"/>
  <c r="M187" i="2"/>
  <c r="K187" i="2"/>
  <c r="E187" i="2"/>
  <c r="B187" i="2"/>
  <c r="Q186" i="2"/>
  <c r="O186" i="2"/>
  <c r="M186" i="2"/>
  <c r="K186" i="2"/>
  <c r="E186" i="2"/>
  <c r="B186" i="2"/>
  <c r="Q185" i="2"/>
  <c r="O185" i="2"/>
  <c r="M185" i="2"/>
  <c r="K185" i="2"/>
  <c r="E185" i="2"/>
  <c r="B185" i="2"/>
  <c r="Q184" i="2"/>
  <c r="O184" i="2"/>
  <c r="M184" i="2"/>
  <c r="K184" i="2"/>
  <c r="E184" i="2"/>
  <c r="B184" i="2"/>
  <c r="Q183" i="2"/>
  <c r="O183" i="2"/>
  <c r="M183" i="2"/>
  <c r="K183" i="2"/>
  <c r="E183" i="2"/>
  <c r="B183" i="2"/>
  <c r="Q182" i="2"/>
  <c r="O182" i="2"/>
  <c r="M182" i="2"/>
  <c r="K182" i="2"/>
  <c r="E182" i="2"/>
  <c r="B182" i="2"/>
  <c r="Q181" i="2"/>
  <c r="O181" i="2"/>
  <c r="M181" i="2"/>
  <c r="K181" i="2"/>
  <c r="E181" i="2"/>
  <c r="B181" i="2"/>
  <c r="Q180" i="2"/>
  <c r="O180" i="2"/>
  <c r="M180" i="2"/>
  <c r="K180" i="2"/>
  <c r="E180" i="2"/>
  <c r="B180" i="2"/>
  <c r="Q179" i="2"/>
  <c r="O179" i="2"/>
  <c r="M179" i="2"/>
  <c r="K179" i="2"/>
  <c r="E179" i="2"/>
  <c r="B179" i="2"/>
  <c r="Q178" i="2"/>
  <c r="O178" i="2"/>
  <c r="M178" i="2"/>
  <c r="K178" i="2"/>
  <c r="E178" i="2"/>
  <c r="B178" i="2"/>
  <c r="Q177" i="2"/>
  <c r="O177" i="2"/>
  <c r="M177" i="2"/>
  <c r="K177" i="2"/>
  <c r="E177" i="2"/>
  <c r="B177" i="2"/>
  <c r="Q176" i="2"/>
  <c r="O176" i="2"/>
  <c r="M176" i="2"/>
  <c r="K176" i="2"/>
  <c r="E176" i="2"/>
  <c r="B176" i="2"/>
  <c r="Q175" i="2"/>
  <c r="O175" i="2"/>
  <c r="M175" i="2"/>
  <c r="K175" i="2"/>
  <c r="E175" i="2"/>
  <c r="B175" i="2"/>
  <c r="Q174" i="2"/>
  <c r="O174" i="2"/>
  <c r="M174" i="2"/>
  <c r="K174" i="2"/>
  <c r="E174" i="2"/>
  <c r="B174" i="2"/>
  <c r="Q173" i="2"/>
  <c r="O173" i="2"/>
  <c r="M173" i="2"/>
  <c r="K173" i="2"/>
  <c r="E173" i="2"/>
  <c r="B173" i="2"/>
  <c r="Q172" i="2"/>
  <c r="O172" i="2"/>
  <c r="M172" i="2"/>
  <c r="K172" i="2"/>
  <c r="E172" i="2"/>
  <c r="B172" i="2"/>
  <c r="Q171" i="2"/>
  <c r="O171" i="2"/>
  <c r="M171" i="2"/>
  <c r="K171" i="2"/>
  <c r="E171" i="2"/>
  <c r="B171" i="2"/>
  <c r="Q170" i="2"/>
  <c r="O170" i="2"/>
  <c r="M170" i="2"/>
  <c r="K170" i="2"/>
  <c r="E170" i="2"/>
  <c r="B170" i="2"/>
  <c r="Q169" i="2"/>
  <c r="O169" i="2"/>
  <c r="M169" i="2"/>
  <c r="K169" i="2"/>
  <c r="E169" i="2"/>
  <c r="B169" i="2"/>
  <c r="Q168" i="2"/>
  <c r="O168" i="2"/>
  <c r="M168" i="2"/>
  <c r="K168" i="2"/>
  <c r="E168" i="2"/>
  <c r="B168" i="2"/>
  <c r="Q167" i="2"/>
  <c r="O167" i="2"/>
  <c r="M167" i="2"/>
  <c r="K167" i="2"/>
  <c r="E167" i="2"/>
  <c r="B167" i="2"/>
  <c r="Q166" i="2"/>
  <c r="O166" i="2"/>
  <c r="M166" i="2"/>
  <c r="K166" i="2"/>
  <c r="E166" i="2"/>
  <c r="B166" i="2"/>
  <c r="Q165" i="2"/>
  <c r="O165" i="2"/>
  <c r="M165" i="2"/>
  <c r="K165" i="2"/>
  <c r="E165" i="2"/>
  <c r="B165" i="2"/>
  <c r="Q164" i="2"/>
  <c r="O164" i="2"/>
  <c r="M164" i="2"/>
  <c r="K164" i="2"/>
  <c r="E164" i="2"/>
  <c r="B164" i="2"/>
  <c r="Q163" i="2"/>
  <c r="O163" i="2"/>
  <c r="M163" i="2"/>
  <c r="K163" i="2"/>
  <c r="E163" i="2"/>
  <c r="B163" i="2"/>
  <c r="Q162" i="2"/>
  <c r="O162" i="2"/>
  <c r="M162" i="2"/>
  <c r="K162" i="2"/>
  <c r="E162" i="2"/>
  <c r="B162" i="2"/>
  <c r="Q161" i="2"/>
  <c r="O161" i="2"/>
  <c r="M161" i="2"/>
  <c r="K161" i="2"/>
  <c r="E161" i="2"/>
  <c r="B161" i="2"/>
  <c r="Q160" i="2"/>
  <c r="O160" i="2"/>
  <c r="M160" i="2"/>
  <c r="K160" i="2"/>
  <c r="E160" i="2"/>
  <c r="B160" i="2"/>
  <c r="Q159" i="2"/>
  <c r="O159" i="2"/>
  <c r="M159" i="2"/>
  <c r="K159" i="2"/>
  <c r="E159" i="2"/>
  <c r="B159" i="2"/>
  <c r="Q158" i="2"/>
  <c r="O158" i="2"/>
  <c r="M158" i="2"/>
  <c r="K158" i="2"/>
  <c r="E158" i="2"/>
  <c r="B158" i="2"/>
  <c r="Q157" i="2"/>
  <c r="O157" i="2"/>
  <c r="M157" i="2"/>
  <c r="K157" i="2"/>
  <c r="E157" i="2"/>
  <c r="B157" i="2"/>
  <c r="Q156" i="2"/>
  <c r="O156" i="2"/>
  <c r="M156" i="2"/>
  <c r="K156" i="2"/>
  <c r="E156" i="2"/>
  <c r="B156" i="2"/>
  <c r="Q155" i="2"/>
  <c r="O155" i="2"/>
  <c r="M155" i="2"/>
  <c r="K155" i="2"/>
  <c r="E155" i="2"/>
  <c r="B155" i="2"/>
  <c r="Q154" i="2"/>
  <c r="O154" i="2"/>
  <c r="M154" i="2"/>
  <c r="K154" i="2"/>
  <c r="E154" i="2"/>
  <c r="B154" i="2"/>
  <c r="Q153" i="2"/>
  <c r="O153" i="2"/>
  <c r="M153" i="2"/>
  <c r="K153" i="2"/>
  <c r="E153" i="2"/>
  <c r="B153" i="2"/>
  <c r="Q152" i="2"/>
  <c r="O152" i="2"/>
  <c r="M152" i="2"/>
  <c r="K152" i="2"/>
  <c r="E152" i="2"/>
  <c r="B152" i="2"/>
  <c r="Q151" i="2"/>
  <c r="O151" i="2"/>
  <c r="M151" i="2"/>
  <c r="K151" i="2"/>
  <c r="E151" i="2"/>
  <c r="B151" i="2"/>
  <c r="Q150" i="2"/>
  <c r="O150" i="2"/>
  <c r="M150" i="2"/>
  <c r="K150" i="2"/>
  <c r="E150" i="2"/>
  <c r="B150" i="2"/>
  <c r="Q149" i="2"/>
  <c r="O149" i="2"/>
  <c r="M149" i="2"/>
  <c r="K149" i="2"/>
  <c r="E149" i="2"/>
  <c r="B149" i="2"/>
  <c r="Q148" i="2"/>
  <c r="O148" i="2"/>
  <c r="M148" i="2"/>
  <c r="K148" i="2"/>
  <c r="E148" i="2"/>
  <c r="B148" i="2"/>
  <c r="Q147" i="2"/>
  <c r="O147" i="2"/>
  <c r="M147" i="2"/>
  <c r="K147" i="2"/>
  <c r="E147" i="2"/>
  <c r="B147" i="2"/>
  <c r="Q146" i="2"/>
  <c r="O146" i="2"/>
  <c r="M146" i="2"/>
  <c r="K146" i="2"/>
  <c r="E146" i="2"/>
  <c r="B146" i="2"/>
  <c r="Q145" i="2"/>
  <c r="O145" i="2"/>
  <c r="M145" i="2"/>
  <c r="K145" i="2"/>
  <c r="E145" i="2"/>
  <c r="B145" i="2"/>
  <c r="Q144" i="2"/>
  <c r="O144" i="2"/>
  <c r="M144" i="2"/>
  <c r="K144" i="2"/>
  <c r="E144" i="2"/>
  <c r="B144" i="2"/>
  <c r="Q143" i="2"/>
  <c r="O143" i="2"/>
  <c r="M143" i="2"/>
  <c r="K143" i="2"/>
  <c r="E143" i="2"/>
  <c r="B143" i="2"/>
  <c r="Q142" i="2"/>
  <c r="O142" i="2"/>
  <c r="M142" i="2"/>
  <c r="K142" i="2"/>
  <c r="E142" i="2"/>
  <c r="B142" i="2"/>
  <c r="Q141" i="2"/>
  <c r="O141" i="2"/>
  <c r="M141" i="2"/>
  <c r="K141" i="2"/>
  <c r="E141" i="2"/>
  <c r="B141" i="2"/>
  <c r="Q140" i="2"/>
  <c r="O140" i="2"/>
  <c r="M140" i="2"/>
  <c r="K140" i="2"/>
  <c r="E140" i="2"/>
  <c r="B140" i="2"/>
  <c r="Q139" i="2"/>
  <c r="O139" i="2"/>
  <c r="M139" i="2"/>
  <c r="K139" i="2"/>
  <c r="E139" i="2"/>
  <c r="B139" i="2"/>
  <c r="Q138" i="2"/>
  <c r="O138" i="2"/>
  <c r="M138" i="2"/>
  <c r="K138" i="2"/>
  <c r="E138" i="2"/>
  <c r="B138" i="2"/>
  <c r="Q137" i="2"/>
  <c r="O137" i="2"/>
  <c r="M137" i="2"/>
  <c r="K137" i="2"/>
  <c r="E137" i="2"/>
  <c r="B137" i="2"/>
  <c r="Q136" i="2"/>
  <c r="O136" i="2"/>
  <c r="M136" i="2"/>
  <c r="K136" i="2"/>
  <c r="E136" i="2"/>
  <c r="B136" i="2"/>
  <c r="Q135" i="2"/>
  <c r="O135" i="2"/>
  <c r="M135" i="2"/>
  <c r="K135" i="2"/>
  <c r="E135" i="2"/>
  <c r="B135" i="2"/>
  <c r="Q134" i="2"/>
  <c r="O134" i="2"/>
  <c r="M134" i="2"/>
  <c r="K134" i="2"/>
  <c r="E134" i="2"/>
  <c r="B134" i="2"/>
  <c r="Q133" i="2"/>
  <c r="O133" i="2"/>
  <c r="M133" i="2"/>
  <c r="K133" i="2"/>
  <c r="E133" i="2"/>
  <c r="B133" i="2"/>
  <c r="Q132" i="2"/>
  <c r="O132" i="2"/>
  <c r="M132" i="2"/>
  <c r="K132" i="2"/>
  <c r="E132" i="2"/>
  <c r="B132" i="2"/>
  <c r="Q131" i="2"/>
  <c r="O131" i="2"/>
  <c r="M131" i="2"/>
  <c r="K131" i="2"/>
  <c r="E131" i="2"/>
  <c r="B131" i="2"/>
  <c r="Q130" i="2"/>
  <c r="O130" i="2"/>
  <c r="M130" i="2"/>
  <c r="K130" i="2"/>
  <c r="E130" i="2"/>
  <c r="B130" i="2"/>
  <c r="Q129" i="2"/>
  <c r="O129" i="2"/>
  <c r="M129" i="2"/>
  <c r="K129" i="2"/>
  <c r="E129" i="2"/>
  <c r="B129" i="2"/>
  <c r="Q128" i="2"/>
  <c r="O128" i="2"/>
  <c r="M128" i="2"/>
  <c r="K128" i="2"/>
  <c r="E128" i="2"/>
  <c r="B128" i="2"/>
  <c r="Q127" i="2"/>
  <c r="O127" i="2"/>
  <c r="M127" i="2"/>
  <c r="K127" i="2"/>
  <c r="E127" i="2"/>
  <c r="B127" i="2"/>
  <c r="Q126" i="2"/>
  <c r="O126" i="2"/>
  <c r="M126" i="2"/>
  <c r="K126" i="2"/>
  <c r="E126" i="2"/>
  <c r="B126" i="2"/>
  <c r="Q125" i="2"/>
  <c r="O125" i="2"/>
  <c r="M125" i="2"/>
  <c r="K125" i="2"/>
  <c r="E125" i="2"/>
  <c r="B125" i="2"/>
  <c r="Q124" i="2"/>
  <c r="O124" i="2"/>
  <c r="M124" i="2"/>
  <c r="K124" i="2"/>
  <c r="E124" i="2"/>
  <c r="B124" i="2"/>
  <c r="Q123" i="2"/>
  <c r="O123" i="2"/>
  <c r="M123" i="2"/>
  <c r="K123" i="2"/>
  <c r="E123" i="2"/>
  <c r="B123" i="2"/>
  <c r="Q122" i="2"/>
  <c r="O122" i="2"/>
  <c r="M122" i="2"/>
  <c r="K122" i="2"/>
  <c r="E122" i="2"/>
  <c r="B122" i="2"/>
  <c r="Q121" i="2"/>
  <c r="O121" i="2"/>
  <c r="M121" i="2"/>
  <c r="K121" i="2"/>
  <c r="E121" i="2"/>
  <c r="B121" i="2"/>
  <c r="Q120" i="2"/>
  <c r="O120" i="2"/>
  <c r="M120" i="2"/>
  <c r="K120" i="2"/>
  <c r="E120" i="2"/>
  <c r="B120" i="2"/>
  <c r="Q119" i="2"/>
  <c r="O119" i="2"/>
  <c r="M119" i="2"/>
  <c r="K119" i="2"/>
  <c r="E119" i="2"/>
  <c r="B119" i="2"/>
  <c r="Q118" i="2"/>
  <c r="O118" i="2"/>
  <c r="M118" i="2"/>
  <c r="K118" i="2"/>
  <c r="E118" i="2"/>
  <c r="B118" i="2"/>
  <c r="Q117" i="2"/>
  <c r="O117" i="2"/>
  <c r="M117" i="2"/>
  <c r="K117" i="2"/>
  <c r="E117" i="2"/>
  <c r="B117" i="2"/>
  <c r="Q116" i="2"/>
  <c r="O116" i="2"/>
  <c r="M116" i="2"/>
  <c r="K116" i="2"/>
  <c r="E116" i="2"/>
  <c r="B116" i="2"/>
  <c r="Q115" i="2"/>
  <c r="O115" i="2"/>
  <c r="M115" i="2"/>
  <c r="K115" i="2"/>
  <c r="E115" i="2"/>
  <c r="B115" i="2"/>
  <c r="Q114" i="2"/>
  <c r="O114" i="2"/>
  <c r="M114" i="2"/>
  <c r="K114" i="2"/>
  <c r="E114" i="2"/>
  <c r="B114" i="2"/>
  <c r="Q113" i="2"/>
  <c r="O113" i="2"/>
  <c r="M113" i="2"/>
  <c r="K113" i="2"/>
  <c r="E113" i="2"/>
  <c r="B113" i="2"/>
  <c r="Q112" i="2"/>
  <c r="O112" i="2"/>
  <c r="M112" i="2"/>
  <c r="K112" i="2"/>
  <c r="E112" i="2"/>
  <c r="B112" i="2"/>
  <c r="Q111" i="2"/>
  <c r="O111" i="2"/>
  <c r="M111" i="2"/>
  <c r="K111" i="2"/>
  <c r="E111" i="2"/>
  <c r="B111" i="2"/>
  <c r="Q110" i="2"/>
  <c r="O110" i="2"/>
  <c r="M110" i="2"/>
  <c r="K110" i="2"/>
  <c r="E110" i="2"/>
  <c r="B110" i="2"/>
  <c r="Q109" i="2"/>
  <c r="O109" i="2"/>
  <c r="M109" i="2"/>
  <c r="K109" i="2"/>
  <c r="E109" i="2"/>
  <c r="B109" i="2"/>
  <c r="Q108" i="2"/>
  <c r="O108" i="2"/>
  <c r="M108" i="2"/>
  <c r="K108" i="2"/>
  <c r="E108" i="2"/>
  <c r="B108" i="2"/>
  <c r="Q107" i="2"/>
  <c r="O107" i="2"/>
  <c r="M107" i="2"/>
  <c r="K107" i="2"/>
  <c r="E107" i="2"/>
  <c r="B107" i="2"/>
  <c r="Q106" i="2"/>
  <c r="O106" i="2"/>
  <c r="M106" i="2"/>
  <c r="K106" i="2"/>
  <c r="E106" i="2"/>
  <c r="B106" i="2"/>
  <c r="Q105" i="2"/>
  <c r="O105" i="2"/>
  <c r="M105" i="2"/>
  <c r="K105" i="2"/>
  <c r="E105" i="2"/>
  <c r="B105" i="2"/>
  <c r="Q104" i="2"/>
  <c r="O104" i="2"/>
  <c r="M104" i="2"/>
  <c r="K104" i="2"/>
  <c r="E104" i="2"/>
  <c r="B104" i="2"/>
  <c r="Q103" i="2"/>
  <c r="O103" i="2"/>
  <c r="M103" i="2"/>
  <c r="K103" i="2"/>
  <c r="E103" i="2"/>
  <c r="B103" i="2"/>
  <c r="Q102" i="2"/>
  <c r="O102" i="2"/>
  <c r="M102" i="2"/>
  <c r="K102" i="2"/>
  <c r="E102" i="2"/>
  <c r="B102" i="2"/>
  <c r="Q101" i="2"/>
  <c r="O101" i="2"/>
  <c r="M101" i="2"/>
  <c r="K101" i="2"/>
  <c r="E101" i="2"/>
  <c r="B101" i="2"/>
  <c r="Q100" i="2"/>
  <c r="O100" i="2"/>
  <c r="M100" i="2"/>
  <c r="K100" i="2"/>
  <c r="E100" i="2"/>
  <c r="B100" i="2"/>
  <c r="Q99" i="2"/>
  <c r="O99" i="2"/>
  <c r="M99" i="2"/>
  <c r="K99" i="2"/>
  <c r="E99" i="2"/>
  <c r="B99" i="2"/>
  <c r="Q98" i="2"/>
  <c r="O98" i="2"/>
  <c r="M98" i="2"/>
  <c r="K98" i="2"/>
  <c r="E98" i="2"/>
  <c r="B98" i="2"/>
  <c r="Q97" i="2"/>
  <c r="O97" i="2"/>
  <c r="M97" i="2"/>
  <c r="K97" i="2"/>
  <c r="E97" i="2"/>
  <c r="B97" i="2"/>
  <c r="Q96" i="2"/>
  <c r="O96" i="2"/>
  <c r="M96" i="2"/>
  <c r="K96" i="2"/>
  <c r="E96" i="2"/>
  <c r="B96" i="2"/>
  <c r="Q95" i="2"/>
  <c r="O95" i="2"/>
  <c r="M95" i="2"/>
  <c r="K95" i="2"/>
  <c r="E95" i="2"/>
  <c r="B95" i="2"/>
  <c r="Q94" i="2"/>
  <c r="O94" i="2"/>
  <c r="M94" i="2"/>
  <c r="K94" i="2"/>
  <c r="E94" i="2"/>
  <c r="B94" i="2"/>
  <c r="Q93" i="2"/>
  <c r="O93" i="2"/>
  <c r="M93" i="2"/>
  <c r="K93" i="2"/>
  <c r="E93" i="2"/>
  <c r="B93" i="2"/>
  <c r="Q92" i="2"/>
  <c r="O92" i="2"/>
  <c r="M92" i="2"/>
  <c r="K92" i="2"/>
  <c r="E92" i="2"/>
  <c r="B92" i="2"/>
  <c r="Q91" i="2"/>
  <c r="O91" i="2"/>
  <c r="M91" i="2"/>
  <c r="K91" i="2"/>
  <c r="E91" i="2"/>
  <c r="B91" i="2"/>
  <c r="Q90" i="2"/>
  <c r="O90" i="2"/>
  <c r="M90" i="2"/>
  <c r="K90" i="2"/>
  <c r="E90" i="2"/>
  <c r="B90" i="2"/>
  <c r="Q89" i="2"/>
  <c r="O89" i="2"/>
  <c r="M89" i="2"/>
  <c r="K89" i="2"/>
  <c r="E89" i="2"/>
  <c r="B89" i="2"/>
  <c r="Q88" i="2"/>
  <c r="O88" i="2"/>
  <c r="M88" i="2"/>
  <c r="K88" i="2"/>
  <c r="E88" i="2"/>
  <c r="B88" i="2"/>
  <c r="Q87" i="2"/>
  <c r="O87" i="2"/>
  <c r="M87" i="2"/>
  <c r="K87" i="2"/>
  <c r="E87" i="2"/>
  <c r="B87" i="2"/>
  <c r="Q86" i="2"/>
  <c r="O86" i="2"/>
  <c r="M86" i="2"/>
  <c r="K86" i="2"/>
  <c r="E86" i="2"/>
  <c r="B86" i="2"/>
  <c r="Q85" i="2"/>
  <c r="O85" i="2"/>
  <c r="M85" i="2"/>
  <c r="K85" i="2"/>
  <c r="E85" i="2"/>
  <c r="B85" i="2"/>
  <c r="Q84" i="2"/>
  <c r="O84" i="2"/>
  <c r="M84" i="2"/>
  <c r="K84" i="2"/>
  <c r="E84" i="2"/>
  <c r="B84" i="2"/>
  <c r="Q83" i="2"/>
  <c r="O83" i="2"/>
  <c r="M83" i="2"/>
  <c r="K83" i="2"/>
  <c r="E83" i="2"/>
  <c r="B83" i="2"/>
  <c r="Q82" i="2"/>
  <c r="O82" i="2"/>
  <c r="M82" i="2"/>
  <c r="K82" i="2"/>
  <c r="E82" i="2"/>
  <c r="B82" i="2"/>
  <c r="Q81" i="2"/>
  <c r="O81" i="2"/>
  <c r="M81" i="2"/>
  <c r="K81" i="2"/>
  <c r="E81" i="2"/>
  <c r="B81" i="2"/>
  <c r="Q80" i="2"/>
  <c r="O80" i="2"/>
  <c r="M80" i="2"/>
  <c r="K80" i="2"/>
  <c r="E80" i="2"/>
  <c r="B80" i="2"/>
  <c r="Q79" i="2"/>
  <c r="O79" i="2"/>
  <c r="M79" i="2"/>
  <c r="K79" i="2"/>
  <c r="E79" i="2"/>
  <c r="B79" i="2"/>
  <c r="Q78" i="2"/>
  <c r="O78" i="2"/>
  <c r="M78" i="2"/>
  <c r="K78" i="2"/>
  <c r="E78" i="2"/>
  <c r="B78" i="2"/>
  <c r="Q77" i="2"/>
  <c r="O77" i="2"/>
  <c r="M77" i="2"/>
  <c r="K77" i="2"/>
  <c r="E77" i="2"/>
  <c r="B77" i="2"/>
  <c r="Q76" i="2"/>
  <c r="O76" i="2"/>
  <c r="M76" i="2"/>
  <c r="K76" i="2"/>
  <c r="E76" i="2"/>
  <c r="B76" i="2"/>
  <c r="Q75" i="2"/>
  <c r="O75" i="2"/>
  <c r="M75" i="2"/>
  <c r="K75" i="2"/>
  <c r="E75" i="2"/>
  <c r="B75" i="2"/>
  <c r="Q74" i="2"/>
  <c r="O74" i="2"/>
  <c r="M74" i="2"/>
  <c r="K74" i="2"/>
  <c r="E74" i="2"/>
  <c r="B74" i="2"/>
  <c r="Q73" i="2"/>
  <c r="O73" i="2"/>
  <c r="M73" i="2"/>
  <c r="K73" i="2"/>
  <c r="E73" i="2"/>
  <c r="B73" i="2"/>
  <c r="Q72" i="2"/>
  <c r="O72" i="2"/>
  <c r="M72" i="2"/>
  <c r="K72" i="2"/>
  <c r="E72" i="2"/>
  <c r="B72" i="2"/>
  <c r="Q71" i="2"/>
  <c r="O71" i="2"/>
  <c r="M71" i="2"/>
  <c r="K71" i="2"/>
  <c r="E71" i="2"/>
  <c r="B71" i="2"/>
  <c r="Q70" i="2"/>
  <c r="O70" i="2"/>
  <c r="M70" i="2"/>
  <c r="K70" i="2"/>
  <c r="E70" i="2"/>
  <c r="B70" i="2"/>
  <c r="Q69" i="2"/>
  <c r="O69" i="2"/>
  <c r="M69" i="2"/>
  <c r="K69" i="2"/>
  <c r="E69" i="2"/>
  <c r="B69" i="2"/>
  <c r="Q68" i="2"/>
  <c r="O68" i="2"/>
  <c r="M68" i="2"/>
  <c r="K68" i="2"/>
  <c r="E68" i="2"/>
  <c r="B68" i="2"/>
  <c r="Q67" i="2"/>
  <c r="O67" i="2"/>
  <c r="M67" i="2"/>
  <c r="K67" i="2"/>
  <c r="E67" i="2"/>
  <c r="B67" i="2"/>
  <c r="Q66" i="2"/>
  <c r="O66" i="2"/>
  <c r="M66" i="2"/>
  <c r="K66" i="2"/>
  <c r="E66" i="2"/>
  <c r="B66" i="2"/>
  <c r="Q65" i="2"/>
  <c r="O65" i="2"/>
  <c r="M65" i="2"/>
  <c r="K65" i="2"/>
  <c r="E65" i="2"/>
  <c r="B65" i="2"/>
  <c r="Q64" i="2"/>
  <c r="O64" i="2"/>
  <c r="M64" i="2"/>
  <c r="K64" i="2"/>
  <c r="E64" i="2"/>
  <c r="B64" i="2"/>
  <c r="Q63" i="2"/>
  <c r="O63" i="2"/>
  <c r="M63" i="2"/>
  <c r="K63" i="2"/>
  <c r="E63" i="2"/>
  <c r="B63" i="2"/>
  <c r="Q62" i="2"/>
  <c r="O62" i="2"/>
  <c r="M62" i="2"/>
  <c r="K62" i="2"/>
  <c r="E62" i="2"/>
  <c r="B62" i="2"/>
  <c r="Q61" i="2"/>
  <c r="O61" i="2"/>
  <c r="M61" i="2"/>
  <c r="K61" i="2"/>
  <c r="E61" i="2"/>
  <c r="B61" i="2"/>
  <c r="Q60" i="2"/>
  <c r="O60" i="2"/>
  <c r="M60" i="2"/>
  <c r="K60" i="2"/>
  <c r="E60" i="2"/>
  <c r="B60" i="2"/>
  <c r="Q59" i="2"/>
  <c r="O59" i="2"/>
  <c r="M59" i="2"/>
  <c r="K59" i="2"/>
  <c r="E59" i="2"/>
  <c r="B59" i="2"/>
  <c r="Q58" i="2"/>
  <c r="O58" i="2"/>
  <c r="M58" i="2"/>
  <c r="K58" i="2"/>
  <c r="E58" i="2"/>
  <c r="B58" i="2"/>
  <c r="Q57" i="2"/>
  <c r="O57" i="2"/>
  <c r="M57" i="2"/>
  <c r="K57" i="2"/>
  <c r="E57" i="2"/>
  <c r="B57" i="2"/>
  <c r="Q56" i="2"/>
  <c r="O56" i="2"/>
  <c r="M56" i="2"/>
  <c r="K56" i="2"/>
  <c r="E56" i="2"/>
  <c r="B56" i="2"/>
  <c r="Q55" i="2"/>
  <c r="O55" i="2"/>
  <c r="M55" i="2"/>
  <c r="K55" i="2"/>
  <c r="E55" i="2"/>
  <c r="B55" i="2"/>
  <c r="Q54" i="2"/>
  <c r="O54" i="2"/>
  <c r="M54" i="2"/>
  <c r="K54" i="2"/>
  <c r="E54" i="2"/>
  <c r="B54" i="2"/>
  <c r="Q53" i="2"/>
  <c r="O53" i="2"/>
  <c r="M53" i="2"/>
  <c r="K53" i="2"/>
  <c r="E53" i="2"/>
  <c r="B53" i="2"/>
  <c r="Q52" i="2"/>
  <c r="O52" i="2"/>
  <c r="M52" i="2"/>
  <c r="K52" i="2"/>
  <c r="E52" i="2"/>
  <c r="B52" i="2"/>
  <c r="Q51" i="2"/>
  <c r="O51" i="2"/>
  <c r="M51" i="2"/>
  <c r="K51" i="2"/>
  <c r="E51" i="2"/>
  <c r="B51" i="2"/>
  <c r="Q50" i="2"/>
  <c r="O50" i="2"/>
  <c r="M50" i="2"/>
  <c r="K50" i="2"/>
  <c r="E50" i="2"/>
  <c r="B50" i="2"/>
  <c r="Q49" i="2"/>
  <c r="O49" i="2"/>
  <c r="M49" i="2"/>
  <c r="K49" i="2"/>
  <c r="E49" i="2"/>
  <c r="B49" i="2"/>
  <c r="Q48" i="2"/>
  <c r="O48" i="2"/>
  <c r="M48" i="2"/>
  <c r="K48" i="2"/>
  <c r="E48" i="2"/>
  <c r="B48" i="2"/>
  <c r="Q47" i="2"/>
  <c r="O47" i="2"/>
  <c r="M47" i="2"/>
  <c r="K47" i="2"/>
  <c r="E47" i="2"/>
  <c r="B47" i="2"/>
  <c r="Q46" i="2"/>
  <c r="O46" i="2"/>
  <c r="M46" i="2"/>
  <c r="K46" i="2"/>
  <c r="E46" i="2"/>
  <c r="B46" i="2"/>
  <c r="Q45" i="2"/>
  <c r="O45" i="2"/>
  <c r="M45" i="2"/>
  <c r="K45" i="2"/>
  <c r="E45" i="2"/>
  <c r="B45" i="2"/>
  <c r="Q44" i="2"/>
  <c r="O44" i="2"/>
  <c r="M44" i="2"/>
  <c r="K44" i="2"/>
  <c r="E44" i="2"/>
  <c r="B44" i="2"/>
  <c r="Q43" i="2"/>
  <c r="O43" i="2"/>
  <c r="M43" i="2"/>
  <c r="K43" i="2"/>
  <c r="E43" i="2"/>
  <c r="B43" i="2"/>
  <c r="Q42" i="2"/>
  <c r="O42" i="2"/>
  <c r="M42" i="2"/>
  <c r="K42" i="2"/>
  <c r="E42" i="2"/>
  <c r="B42" i="2"/>
  <c r="Q41" i="2"/>
  <c r="O41" i="2"/>
  <c r="M41" i="2"/>
  <c r="K41" i="2"/>
  <c r="E41" i="2"/>
  <c r="B41" i="2"/>
  <c r="Q40" i="2"/>
  <c r="O40" i="2"/>
  <c r="M40" i="2"/>
  <c r="K40" i="2"/>
  <c r="E40" i="2"/>
  <c r="B40" i="2"/>
  <c r="Q39" i="2"/>
  <c r="O39" i="2"/>
  <c r="M39" i="2"/>
  <c r="K39" i="2"/>
  <c r="E39" i="2"/>
  <c r="B39" i="2"/>
  <c r="Q38" i="2"/>
  <c r="O38" i="2"/>
  <c r="M38" i="2"/>
  <c r="K38" i="2"/>
  <c r="E38" i="2"/>
  <c r="B38" i="2"/>
  <c r="Q37" i="2"/>
  <c r="O37" i="2"/>
  <c r="M37" i="2"/>
  <c r="K37" i="2"/>
  <c r="E37" i="2"/>
  <c r="B37" i="2"/>
  <c r="Q36" i="2"/>
  <c r="O36" i="2"/>
  <c r="M36" i="2"/>
  <c r="K36" i="2"/>
  <c r="E36" i="2"/>
  <c r="B36" i="2"/>
  <c r="Q35" i="2"/>
  <c r="O35" i="2"/>
  <c r="M35" i="2"/>
  <c r="K35" i="2"/>
  <c r="E35" i="2"/>
  <c r="B35" i="2"/>
  <c r="Q34" i="2"/>
  <c r="O34" i="2"/>
  <c r="M34" i="2"/>
  <c r="K34" i="2"/>
  <c r="E34" i="2"/>
  <c r="B34" i="2"/>
  <c r="Q33" i="2"/>
  <c r="O33" i="2"/>
  <c r="M33" i="2"/>
  <c r="K33" i="2"/>
  <c r="E33" i="2"/>
  <c r="B33" i="2"/>
  <c r="Q32" i="2"/>
  <c r="O32" i="2"/>
  <c r="M32" i="2"/>
  <c r="K32" i="2"/>
  <c r="E32" i="2"/>
  <c r="B32" i="2"/>
  <c r="Q31" i="2"/>
  <c r="O31" i="2"/>
  <c r="M31" i="2"/>
  <c r="K31" i="2"/>
  <c r="E31" i="2"/>
  <c r="B31" i="2"/>
  <c r="Q30" i="2"/>
  <c r="O30" i="2"/>
  <c r="M30" i="2"/>
  <c r="K30" i="2"/>
  <c r="E30" i="2"/>
  <c r="B30" i="2"/>
  <c r="Q29" i="2"/>
  <c r="O29" i="2"/>
  <c r="M29" i="2"/>
  <c r="K29" i="2"/>
  <c r="E29" i="2"/>
  <c r="B29" i="2"/>
  <c r="Q28" i="2"/>
  <c r="O28" i="2"/>
  <c r="M28" i="2"/>
  <c r="K28" i="2"/>
  <c r="E28" i="2"/>
  <c r="B28" i="2"/>
  <c r="Q27" i="2"/>
  <c r="O27" i="2"/>
  <c r="M27" i="2"/>
  <c r="K27" i="2"/>
  <c r="E27" i="2"/>
  <c r="B27" i="2"/>
  <c r="Q26" i="2"/>
  <c r="O26" i="2"/>
  <c r="M26" i="2"/>
  <c r="K26" i="2"/>
  <c r="E26" i="2"/>
  <c r="B26" i="2"/>
  <c r="Q25" i="2"/>
  <c r="O25" i="2"/>
  <c r="M25" i="2"/>
  <c r="K25" i="2"/>
  <c r="E25" i="2"/>
  <c r="B25" i="2"/>
  <c r="Q24" i="2"/>
  <c r="O24" i="2"/>
  <c r="M24" i="2"/>
  <c r="K24" i="2"/>
  <c r="E24" i="2"/>
  <c r="B24" i="2"/>
  <c r="Q23" i="2"/>
  <c r="O23" i="2"/>
  <c r="M23" i="2"/>
  <c r="K23" i="2"/>
  <c r="E23" i="2"/>
  <c r="B23" i="2"/>
  <c r="Q22" i="2"/>
  <c r="O22" i="2"/>
  <c r="M22" i="2"/>
  <c r="K22" i="2"/>
  <c r="E22" i="2"/>
  <c r="B22" i="2"/>
  <c r="Q21" i="2"/>
  <c r="O21" i="2"/>
  <c r="M21" i="2"/>
  <c r="K21" i="2"/>
  <c r="E21" i="2"/>
  <c r="B21" i="2"/>
  <c r="Q20" i="2"/>
  <c r="O20" i="2"/>
  <c r="M20" i="2"/>
  <c r="K20" i="2"/>
  <c r="E20" i="2"/>
  <c r="B20" i="2"/>
  <c r="Q19" i="2"/>
  <c r="O19" i="2"/>
  <c r="M19" i="2"/>
  <c r="K19" i="2"/>
  <c r="E19" i="2"/>
  <c r="B19" i="2"/>
  <c r="Q18" i="2"/>
  <c r="O18" i="2"/>
  <c r="M18" i="2"/>
  <c r="K18" i="2"/>
  <c r="E18" i="2"/>
  <c r="B18" i="2"/>
  <c r="Q17" i="2"/>
  <c r="O17" i="2"/>
  <c r="M17" i="2"/>
  <c r="K17" i="2"/>
  <c r="E17" i="2"/>
  <c r="B17" i="2"/>
  <c r="Q16" i="2"/>
  <c r="O16" i="2"/>
  <c r="M16" i="2"/>
  <c r="K16" i="2"/>
  <c r="E16" i="2"/>
  <c r="B16" i="2"/>
  <c r="Q15" i="2"/>
  <c r="O15" i="2"/>
  <c r="M15" i="2"/>
  <c r="K15" i="2"/>
  <c r="E15" i="2"/>
  <c r="B15" i="2"/>
  <c r="Q14" i="2"/>
  <c r="O14" i="2"/>
  <c r="M14" i="2"/>
  <c r="K14" i="2"/>
  <c r="E14" i="2"/>
  <c r="B14" i="2"/>
  <c r="Q13" i="2"/>
  <c r="O13" i="2"/>
  <c r="M13" i="2"/>
  <c r="K13" i="2"/>
  <c r="E13" i="2"/>
  <c r="B13" i="2"/>
  <c r="Q12" i="2"/>
  <c r="O12" i="2"/>
  <c r="M12" i="2"/>
  <c r="K12" i="2"/>
  <c r="E12" i="2"/>
  <c r="B12" i="2"/>
  <c r="Q11" i="2"/>
  <c r="O11" i="2"/>
  <c r="M11" i="2"/>
  <c r="K11" i="2"/>
  <c r="E11" i="2"/>
  <c r="B11" i="2"/>
  <c r="Q10" i="2"/>
  <c r="O10" i="2"/>
  <c r="M10" i="2"/>
  <c r="K10" i="2"/>
  <c r="E10" i="2"/>
  <c r="B10" i="2"/>
  <c r="Q9" i="2"/>
  <c r="O9" i="2"/>
  <c r="M9" i="2"/>
  <c r="K9" i="2"/>
  <c r="E9" i="2"/>
  <c r="B9" i="2"/>
  <c r="Q8" i="2"/>
  <c r="O8" i="2"/>
  <c r="M8" i="2"/>
  <c r="K8" i="2"/>
  <c r="E8" i="2"/>
  <c r="B8" i="2"/>
  <c r="Q7" i="2"/>
  <c r="O7" i="2"/>
  <c r="M7" i="2"/>
  <c r="K7" i="2"/>
  <c r="E7" i="2"/>
  <c r="B7" i="2"/>
  <c r="Q6" i="2"/>
  <c r="O6" i="2"/>
  <c r="M6" i="2"/>
  <c r="K6" i="2"/>
  <c r="E6" i="2"/>
  <c r="B6" i="2"/>
  <c r="Q5" i="2"/>
  <c r="O5" i="2"/>
  <c r="M5" i="2"/>
  <c r="K5" i="2"/>
  <c r="E5" i="2"/>
  <c r="B5" i="2"/>
  <c r="Q4" i="2"/>
  <c r="O4" i="2"/>
  <c r="M4" i="2"/>
  <c r="K4" i="2"/>
  <c r="E4" i="2"/>
  <c r="B4" i="2"/>
  <c r="Q3" i="2"/>
  <c r="O3" i="2"/>
  <c r="M3" i="2"/>
  <c r="K3" i="2"/>
  <c r="E3" i="2"/>
  <c r="B3" i="2"/>
  <c r="Q2" i="2"/>
  <c r="O2" i="2"/>
  <c r="M2" i="2"/>
  <c r="K2" i="2"/>
  <c r="E2" i="2"/>
  <c r="B2" i="2"/>
</calcChain>
</file>

<file path=xl/sharedStrings.xml><?xml version="1.0" encoding="utf-8"?>
<sst xmlns="http://schemas.openxmlformats.org/spreadsheetml/2006/main" count="6779" uniqueCount="557">
  <si>
    <t>Date</t>
  </si>
  <si>
    <t>Region</t>
  </si>
  <si>
    <t>Sales Rep</t>
  </si>
  <si>
    <t>Customer</t>
  </si>
  <si>
    <t>Category</t>
  </si>
  <si>
    <t>Product</t>
  </si>
  <si>
    <t>Units Sold</t>
  </si>
  <si>
    <t>Unit Price</t>
  </si>
  <si>
    <t>Order ID</t>
  </si>
  <si>
    <t>Payment Type</t>
  </si>
  <si>
    <t>Northotes</t>
  </si>
  <si>
    <t>05-01-2024</t>
  </si>
  <si>
    <t>North</t>
  </si>
  <si>
    <t>Faith</t>
  </si>
  <si>
    <t>Stark Industries</t>
  </si>
  <si>
    <t>STATIONorthARY</t>
  </si>
  <si>
    <t>Jeans</t>
  </si>
  <si>
    <t>ORD1022</t>
  </si>
  <si>
    <t>Bank Transfer</t>
  </si>
  <si>
    <t>double entry</t>
  </si>
  <si>
    <t>09-05-2024</t>
  </si>
  <si>
    <t>South</t>
  </si>
  <si>
    <t>Bob</t>
  </si>
  <si>
    <t>Globex</t>
  </si>
  <si>
    <t>Clothing</t>
  </si>
  <si>
    <t>Envelope</t>
  </si>
  <si>
    <t>ORD1067</t>
  </si>
  <si>
    <t>21-02-2024</t>
  </si>
  <si>
    <t>George</t>
  </si>
  <si>
    <t>Acme Ltd</t>
  </si>
  <si>
    <t>Chair</t>
  </si>
  <si>
    <t>ORD1111</t>
  </si>
  <si>
    <t>Mobile Money</t>
  </si>
  <si>
    <t>Priority</t>
  </si>
  <si>
    <t>02-10-2024</t>
  </si>
  <si>
    <t>East</t>
  </si>
  <si>
    <t>Initech</t>
  </si>
  <si>
    <t>Furniture</t>
  </si>
  <si>
    <t>Table</t>
  </si>
  <si>
    <t>ORD1156</t>
  </si>
  <si>
    <t>urgent</t>
  </si>
  <si>
    <t>15-01-2024</t>
  </si>
  <si>
    <t>Alice</t>
  </si>
  <si>
    <t>Electronics</t>
  </si>
  <si>
    <t>ORD1160</t>
  </si>
  <si>
    <t>04-01-2024</t>
  </si>
  <si>
    <t>SOUTH</t>
  </si>
  <si>
    <t>Wayne Ent.</t>
  </si>
  <si>
    <t>ORD1213</t>
  </si>
  <si>
    <t>02-06-2024</t>
  </si>
  <si>
    <t>Umbrella Corp</t>
  </si>
  <si>
    <t>ORD1149</t>
  </si>
  <si>
    <t>Follow up</t>
  </si>
  <si>
    <t>13-10-2024</t>
  </si>
  <si>
    <t>West</t>
  </si>
  <si>
    <t>Monitor</t>
  </si>
  <si>
    <t>ORD1083</t>
  </si>
  <si>
    <t xml:space="preserve">mobile money </t>
  </si>
  <si>
    <t>20-07-2024</t>
  </si>
  <si>
    <t>Charlie</t>
  </si>
  <si>
    <t>ORD1016</t>
  </si>
  <si>
    <t>06/22/2024</t>
  </si>
  <si>
    <t>Hannah</t>
  </si>
  <si>
    <t>T-Shirt</t>
  </si>
  <si>
    <t>ORD1109</t>
  </si>
  <si>
    <t>CASH</t>
  </si>
  <si>
    <t>26-10-2024</t>
  </si>
  <si>
    <t>Bookshelf</t>
  </si>
  <si>
    <t>ORD1116</t>
  </si>
  <si>
    <t>15-06-2024</t>
  </si>
  <si>
    <t>Stationery</t>
  </si>
  <si>
    <t>Calculator</t>
  </si>
  <si>
    <t>ORD1155</t>
  </si>
  <si>
    <t>31-01-2024</t>
  </si>
  <si>
    <t>ORD1082</t>
  </si>
  <si>
    <t>Credit Card</t>
  </si>
  <si>
    <t>06-07-2024</t>
  </si>
  <si>
    <t>Diana</t>
  </si>
  <si>
    <t>Laptop</t>
  </si>
  <si>
    <t>ORD1066</t>
  </si>
  <si>
    <t xml:space="preserve"> </t>
  </si>
  <si>
    <t>19-01-2024</t>
  </si>
  <si>
    <t>ORD1166</t>
  </si>
  <si>
    <t>Check stock</t>
  </si>
  <si>
    <t>07/06/2024</t>
  </si>
  <si>
    <t>ORD1195</t>
  </si>
  <si>
    <t>12-06-2024</t>
  </si>
  <si>
    <t>Ethan</t>
  </si>
  <si>
    <t>Jacket</t>
  </si>
  <si>
    <t>ORD1150</t>
  </si>
  <si>
    <t>01-10-2024</t>
  </si>
  <si>
    <t>Northotebook</t>
  </si>
  <si>
    <t>ORD1011</t>
  </si>
  <si>
    <t>Cash</t>
  </si>
  <si>
    <t>18-02-2024</t>
  </si>
  <si>
    <t>ORD1118</t>
  </si>
  <si>
    <t>01-06-2024</t>
  </si>
  <si>
    <t>ORD1167</t>
  </si>
  <si>
    <t>26-07-2024</t>
  </si>
  <si>
    <t>ORD1073</t>
  </si>
  <si>
    <t>05-07-2024</t>
  </si>
  <si>
    <t>Desk</t>
  </si>
  <si>
    <t>ORD1045</t>
  </si>
  <si>
    <t>25-02-2024</t>
  </si>
  <si>
    <t>ORD1180</t>
  </si>
  <si>
    <t>07-09-2024</t>
  </si>
  <si>
    <t>Smartphone</t>
  </si>
  <si>
    <t>ORD1168</t>
  </si>
  <si>
    <t>07-06-2024</t>
  </si>
  <si>
    <t>10-08-2024</t>
  </si>
  <si>
    <t>ORD1170</t>
  </si>
  <si>
    <t>12-10-2024</t>
  </si>
  <si>
    <t>Stapler</t>
  </si>
  <si>
    <t>ORD1169</t>
  </si>
  <si>
    <t>05/20/2024</t>
  </si>
  <si>
    <t>ORD1023</t>
  </si>
  <si>
    <t>06/24/2024</t>
  </si>
  <si>
    <t>Pen</t>
  </si>
  <si>
    <t>21-06-2024</t>
  </si>
  <si>
    <t>ORD1055</t>
  </si>
  <si>
    <t>17-09-2024</t>
  </si>
  <si>
    <t>ORD1008</t>
  </si>
  <si>
    <t>11-01-2024</t>
  </si>
  <si>
    <t>ORD1138</t>
  </si>
  <si>
    <t>14-09-2024</t>
  </si>
  <si>
    <t>ORD1191</t>
  </si>
  <si>
    <t>26-06-2024</t>
  </si>
  <si>
    <t>Tablet</t>
  </si>
  <si>
    <t>ORD1081</t>
  </si>
  <si>
    <t>04/08/2024</t>
  </si>
  <si>
    <t>ORD1085</t>
  </si>
  <si>
    <t>09/17/2024</t>
  </si>
  <si>
    <t>ORD1141</t>
  </si>
  <si>
    <t>28-07-2024</t>
  </si>
  <si>
    <t>ORD1039</t>
  </si>
  <si>
    <t>04/18/2024</t>
  </si>
  <si>
    <t>ORD1102</t>
  </si>
  <si>
    <t>06-08-2024</t>
  </si>
  <si>
    <t>ORD1105</t>
  </si>
  <si>
    <t>22-10-2024</t>
  </si>
  <si>
    <t>ORD1098</t>
  </si>
  <si>
    <t>ORD1049</t>
  </si>
  <si>
    <t>13-01-2024</t>
  </si>
  <si>
    <t>ORD1201</t>
  </si>
  <si>
    <t>15-03-2024</t>
  </si>
  <si>
    <t>ORD1050</t>
  </si>
  <si>
    <t xml:space="preserve">East </t>
  </si>
  <si>
    <t>ORD1115</t>
  </si>
  <si>
    <t>22-03-2024</t>
  </si>
  <si>
    <t>ORD1202</t>
  </si>
  <si>
    <t>13-07-2024</t>
  </si>
  <si>
    <t>ORD1028</t>
  </si>
  <si>
    <t>08-06-2024</t>
  </si>
  <si>
    <t>ORD1096</t>
  </si>
  <si>
    <t>10-02-2024</t>
  </si>
  <si>
    <t>ORD1040</t>
  </si>
  <si>
    <t>27-07-2024</t>
  </si>
  <si>
    <t>ORD1214</t>
  </si>
  <si>
    <t>ORD1151</t>
  </si>
  <si>
    <t>27-09-2024</t>
  </si>
  <si>
    <t>ORD1211</t>
  </si>
  <si>
    <t>14-04-2024</t>
  </si>
  <si>
    <t>ORD1124</t>
  </si>
  <si>
    <t>08-08-2024</t>
  </si>
  <si>
    <t>ORD1165</t>
  </si>
  <si>
    <t>08/18/2024</t>
  </si>
  <si>
    <t>18-10-2024</t>
  </si>
  <si>
    <t>ORD1044</t>
  </si>
  <si>
    <t>22-06-2024</t>
  </si>
  <si>
    <t>Sneakers</t>
  </si>
  <si>
    <t>ORD1198</t>
  </si>
  <si>
    <t>05-08-2024</t>
  </si>
  <si>
    <t>ORD1003</t>
  </si>
  <si>
    <t>ORD1091</t>
  </si>
  <si>
    <t>05-05-2024</t>
  </si>
  <si>
    <t>ORD1048</t>
  </si>
  <si>
    <t>11-08-2024</t>
  </si>
  <si>
    <t>ORD1075</t>
  </si>
  <si>
    <t>08-02-2024</t>
  </si>
  <si>
    <t>ORD1152</t>
  </si>
  <si>
    <t>17-04-2024</t>
  </si>
  <si>
    <t>ORD1173</t>
  </si>
  <si>
    <t>07-08-2024</t>
  </si>
  <si>
    <t>Dress</t>
  </si>
  <si>
    <t>ORD1206</t>
  </si>
  <si>
    <t>04-04-2024</t>
  </si>
  <si>
    <t>ORD1182</t>
  </si>
  <si>
    <t>02/29/2024</t>
  </si>
  <si>
    <t>30-05-2024</t>
  </si>
  <si>
    <t>ORD1106</t>
  </si>
  <si>
    <t>04/09/2024</t>
  </si>
  <si>
    <t>01-05-2024</t>
  </si>
  <si>
    <t>ORD1041</t>
  </si>
  <si>
    <t>11-04-2024</t>
  </si>
  <si>
    <t>21-05-2024</t>
  </si>
  <si>
    <t>09-02-2024</t>
  </si>
  <si>
    <t>17-02-2024</t>
  </si>
  <si>
    <t>ORD1128</t>
  </si>
  <si>
    <t>07-03-2024</t>
  </si>
  <si>
    <t>ORD1052</t>
  </si>
  <si>
    <t>29-01-2024</t>
  </si>
  <si>
    <t>25-07-2024</t>
  </si>
  <si>
    <t>ORD1209</t>
  </si>
  <si>
    <t>20-06-2024</t>
  </si>
  <si>
    <t>13-08-2024</t>
  </si>
  <si>
    <t>ORD1054</t>
  </si>
  <si>
    <t>28-04-2024</t>
  </si>
  <si>
    <t>ORD1119</t>
  </si>
  <si>
    <t>20-03-2024</t>
  </si>
  <si>
    <t>ORD1131</t>
  </si>
  <si>
    <t>28-02-2024</t>
  </si>
  <si>
    <t>ORD1145</t>
  </si>
  <si>
    <t>16-10-2024</t>
  </si>
  <si>
    <t>Couch</t>
  </si>
  <si>
    <t>26-08-2024</t>
  </si>
  <si>
    <t>ORD1159</t>
  </si>
  <si>
    <t>27-02-2024</t>
  </si>
  <si>
    <t>ORD1117</t>
  </si>
  <si>
    <t>16-03-2024</t>
  </si>
  <si>
    <t>ORD1080</t>
  </si>
  <si>
    <t>ORD1164</t>
  </si>
  <si>
    <t>24-03-2024</t>
  </si>
  <si>
    <t>ORD1103</t>
  </si>
  <si>
    <t>14-06-2024</t>
  </si>
  <si>
    <t>ORD1193</t>
  </si>
  <si>
    <t>01-04-2024</t>
  </si>
  <si>
    <t>ORD1104</t>
  </si>
  <si>
    <t>25-04-2024</t>
  </si>
  <si>
    <t>ORD1078</t>
  </si>
  <si>
    <t>06-03-2024</t>
  </si>
  <si>
    <t>ORD1205</t>
  </si>
  <si>
    <t>11-10-2024</t>
  </si>
  <si>
    <t>ORD1187</t>
  </si>
  <si>
    <t>01-09-2024</t>
  </si>
  <si>
    <t>26-04-2024</t>
  </si>
  <si>
    <t>ORD1077</t>
  </si>
  <si>
    <t>10-03-2024</t>
  </si>
  <si>
    <t>ORD1157</t>
  </si>
  <si>
    <t>31-08-2024</t>
  </si>
  <si>
    <t>ORD1139</t>
  </si>
  <si>
    <t>28-08-2024</t>
  </si>
  <si>
    <t>ORD1036</t>
  </si>
  <si>
    <t>27-06-2024</t>
  </si>
  <si>
    <t>ORD1018</t>
  </si>
  <si>
    <t>06-01-2024</t>
  </si>
  <si>
    <t>ORD1110</t>
  </si>
  <si>
    <t>17-01-2024</t>
  </si>
  <si>
    <t>ORD1069</t>
  </si>
  <si>
    <t>ORD1090</t>
  </si>
  <si>
    <t>16-02-2024</t>
  </si>
  <si>
    <t>07/02/2024</t>
  </si>
  <si>
    <t>ORD1006</t>
  </si>
  <si>
    <t>20-10-2024</t>
  </si>
  <si>
    <t>03-03-2024</t>
  </si>
  <si>
    <t>25-08-2024</t>
  </si>
  <si>
    <t>ORD1192</t>
  </si>
  <si>
    <t>24-10-2024</t>
  </si>
  <si>
    <t>29-09-2024</t>
  </si>
  <si>
    <t>31-03-2024</t>
  </si>
  <si>
    <t>13-04-2024</t>
  </si>
  <si>
    <t>25-05-2024</t>
  </si>
  <si>
    <t>ORD1112</t>
  </si>
  <si>
    <t>09/03/2024</t>
  </si>
  <si>
    <t>23-04-2024</t>
  </si>
  <si>
    <t>05-09-2024</t>
  </si>
  <si>
    <t>04/04/2024</t>
  </si>
  <si>
    <t>23-02-2024</t>
  </si>
  <si>
    <t>ORD1060</t>
  </si>
  <si>
    <t>ORD1140</t>
  </si>
  <si>
    <t>10-04-2024</t>
  </si>
  <si>
    <t>ORD1123</t>
  </si>
  <si>
    <t>16-01-2024</t>
  </si>
  <si>
    <t>21-03-2024</t>
  </si>
  <si>
    <t>Headphones</t>
  </si>
  <si>
    <t>ORD1056</t>
  </si>
  <si>
    <t>11-03-2024</t>
  </si>
  <si>
    <t>03/20/2024</t>
  </si>
  <si>
    <t>ORD1097</t>
  </si>
  <si>
    <t>ORD1200</t>
  </si>
  <si>
    <t>11-06-2024</t>
  </si>
  <si>
    <t>ORD1002</t>
  </si>
  <si>
    <t>ORD1034</t>
  </si>
  <si>
    <t>21-09-2024</t>
  </si>
  <si>
    <t>ORD1001</t>
  </si>
  <si>
    <t>ORD1029</t>
  </si>
  <si>
    <t>ORD1189</t>
  </si>
  <si>
    <t>18-05-2024</t>
  </si>
  <si>
    <t>ORD1092</t>
  </si>
  <si>
    <t>10/08/2024</t>
  </si>
  <si>
    <t>25-03-2024</t>
  </si>
  <si>
    <t>15-04-2024</t>
  </si>
  <si>
    <t>ORD1012</t>
  </si>
  <si>
    <t>20-02-2024</t>
  </si>
  <si>
    <t>ORD1186</t>
  </si>
  <si>
    <t>06-04-2024</t>
  </si>
  <si>
    <t>ORD1122</t>
  </si>
  <si>
    <t>ORD1010</t>
  </si>
  <si>
    <t>ORD1101</t>
  </si>
  <si>
    <t>ORD1027</t>
  </si>
  <si>
    <t>14-07-2024</t>
  </si>
  <si>
    <t>ORD1216</t>
  </si>
  <si>
    <t>01-01-2024</t>
  </si>
  <si>
    <t>ORD1197</t>
  </si>
  <si>
    <t>02/12/2024</t>
  </si>
  <si>
    <t>ORD1058</t>
  </si>
  <si>
    <t>03-06-2024</t>
  </si>
  <si>
    <t>29-07-2024</t>
  </si>
  <si>
    <t>ORD1072</t>
  </si>
  <si>
    <t>02-09-2024</t>
  </si>
  <si>
    <t>15-07-2024</t>
  </si>
  <si>
    <t>12-05-2024</t>
  </si>
  <si>
    <t>ORD1021</t>
  </si>
  <si>
    <t>28-01-2024</t>
  </si>
  <si>
    <t>22-04-2024</t>
  </si>
  <si>
    <t>05/17/2024</t>
  </si>
  <si>
    <t>ORD1057</t>
  </si>
  <si>
    <t>09-01-2024</t>
  </si>
  <si>
    <t>08-09-2024</t>
  </si>
  <si>
    <t>ORD1086</t>
  </si>
  <si>
    <t>25-10-2024</t>
  </si>
  <si>
    <t>19-10-2024</t>
  </si>
  <si>
    <t>ORD1134</t>
  </si>
  <si>
    <t>21-01-2024</t>
  </si>
  <si>
    <t>ORD1148</t>
  </si>
  <si>
    <t>12-01-2024</t>
  </si>
  <si>
    <t>27-05-2024</t>
  </si>
  <si>
    <t>ORD1000</t>
  </si>
  <si>
    <t>19-04-2024</t>
  </si>
  <si>
    <t>ORD1037</t>
  </si>
  <si>
    <t>ORD1064</t>
  </si>
  <si>
    <t>29-04-2024</t>
  </si>
  <si>
    <t>ORD1212</t>
  </si>
  <si>
    <t>ORD1210</t>
  </si>
  <si>
    <t>ORD1076</t>
  </si>
  <si>
    <t>27-10-2024</t>
  </si>
  <si>
    <t>ORD1089</t>
  </si>
  <si>
    <t>05/02/2024</t>
  </si>
  <si>
    <t>ORD1220</t>
  </si>
  <si>
    <t>13-05-2024</t>
  </si>
  <si>
    <t>ORD1095</t>
  </si>
  <si>
    <t>29-05-2024</t>
  </si>
  <si>
    <t>ORD1137</t>
  </si>
  <si>
    <t>ORD1136</t>
  </si>
  <si>
    <t>18-07-2024</t>
  </si>
  <si>
    <t>ORD1190</t>
  </si>
  <si>
    <t>19-03-2024</t>
  </si>
  <si>
    <t>13-02-2024</t>
  </si>
  <si>
    <t>14-02-2024</t>
  </si>
  <si>
    <t>21-08-2024</t>
  </si>
  <si>
    <t>20-09-2024</t>
  </si>
  <si>
    <t>19-06-2024</t>
  </si>
  <si>
    <t>ORD1154</t>
  </si>
  <si>
    <t>09/10/2024</t>
  </si>
  <si>
    <t>ORD1135</t>
  </si>
  <si>
    <t>24-02-2024</t>
  </si>
  <si>
    <t>02-02-2024</t>
  </si>
  <si>
    <t>ORD1142</t>
  </si>
  <si>
    <t>04/20/2024</t>
  </si>
  <si>
    <t>ORD1030</t>
  </si>
  <si>
    <t>03/21/2024</t>
  </si>
  <si>
    <t>ORD1162</t>
  </si>
  <si>
    <t>03-04-2024</t>
  </si>
  <si>
    <t>06-05-2024</t>
  </si>
  <si>
    <t>08-01-2024</t>
  </si>
  <si>
    <t>ORD1100</t>
  </si>
  <si>
    <t>08/31/2024</t>
  </si>
  <si>
    <t>ORD1208</t>
  </si>
  <si>
    <t>16-08-2024</t>
  </si>
  <si>
    <t>ORD1013</t>
  </si>
  <si>
    <t>31-07-2024</t>
  </si>
  <si>
    <t>07-04-2024</t>
  </si>
  <si>
    <t>ORD1043</t>
  </si>
  <si>
    <t>12-03-2024</t>
  </si>
  <si>
    <t>22-08-2024</t>
  </si>
  <si>
    <t>ORD1019</t>
  </si>
  <si>
    <t>06-10-2024</t>
  </si>
  <si>
    <t>11-02-2024</t>
  </si>
  <si>
    <t>07-01-2024</t>
  </si>
  <si>
    <t>ORD1024</t>
  </si>
  <si>
    <t>04-07-2024</t>
  </si>
  <si>
    <t>12-02-2024</t>
  </si>
  <si>
    <t>06-02-2024</t>
  </si>
  <si>
    <t>ORD1004</t>
  </si>
  <si>
    <t>03-05-2024</t>
  </si>
  <si>
    <t>26-09-2024</t>
  </si>
  <si>
    <t>25-01-2024</t>
  </si>
  <si>
    <t>08-04-2024</t>
  </si>
  <si>
    <t>05/04/2024</t>
  </si>
  <si>
    <t>ORD1218</t>
  </si>
  <si>
    <t>16-04-2024</t>
  </si>
  <si>
    <t>02-03-2024</t>
  </si>
  <si>
    <t>ORD1093</t>
  </si>
  <si>
    <t>ORD1053</t>
  </si>
  <si>
    <t>04-10-2024</t>
  </si>
  <si>
    <t>ORD1042</t>
  </si>
  <si>
    <t>03/23/2024</t>
  </si>
  <si>
    <t>ORD1176</t>
  </si>
  <si>
    <t>05-04-2024</t>
  </si>
  <si>
    <t>08-07-2024</t>
  </si>
  <si>
    <t>ORD1204</t>
  </si>
  <si>
    <t>ORD1015</t>
  </si>
  <si>
    <t>ORD1063</t>
  </si>
  <si>
    <t>01-03-2024</t>
  </si>
  <si>
    <t>ORD1219</t>
  </si>
  <si>
    <t>01/16/2024</t>
  </si>
  <si>
    <t>ORD1071</t>
  </si>
  <si>
    <t>19-09-2024</t>
  </si>
  <si>
    <t>ORD1014</t>
  </si>
  <si>
    <t>01-02-2024</t>
  </si>
  <si>
    <t>01/27/2024</t>
  </si>
  <si>
    <t>ORD1132</t>
  </si>
  <si>
    <t>12-09-2024</t>
  </si>
  <si>
    <t>02-05-2024</t>
  </si>
  <si>
    <t>06/09/2024</t>
  </si>
  <si>
    <t>02-08-2024</t>
  </si>
  <si>
    <t>ORD1046</t>
  </si>
  <si>
    <t>ORD1094</t>
  </si>
  <si>
    <t>13-06-2024</t>
  </si>
  <si>
    <t>ORD1215</t>
  </si>
  <si>
    <t>18-03-2024</t>
  </si>
  <si>
    <t>02/13/2024</t>
  </si>
  <si>
    <t>ORD1203</t>
  </si>
  <si>
    <t>30-07-2024</t>
  </si>
  <si>
    <t>10-07-2024</t>
  </si>
  <si>
    <t>18-08-2024</t>
  </si>
  <si>
    <t>08-03-2024</t>
  </si>
  <si>
    <t>05-06-2024</t>
  </si>
  <si>
    <t>ORD1146</t>
  </si>
  <si>
    <t>05/03/2024</t>
  </si>
  <si>
    <t>23-08-2024</t>
  </si>
  <si>
    <t>ORD1199</t>
  </si>
  <si>
    <t>18-01-2024</t>
  </si>
  <si>
    <t>ORD1143</t>
  </si>
  <si>
    <t>ORD1129</t>
  </si>
  <si>
    <t>ORD1038</t>
  </si>
  <si>
    <t>10-09-2024</t>
  </si>
  <si>
    <t>ORD1174</t>
  </si>
  <si>
    <t>03-07-2024</t>
  </si>
  <si>
    <t>ORD1178</t>
  </si>
  <si>
    <t>12-07-2024</t>
  </si>
  <si>
    <t>ORD1088</t>
  </si>
  <si>
    <t>12-04-2024</t>
  </si>
  <si>
    <t>20-05-2024</t>
  </si>
  <si>
    <t>ORD1184</t>
  </si>
  <si>
    <t>20-01-2024</t>
  </si>
  <si>
    <t>30-03-2024</t>
  </si>
  <si>
    <t>09/15/2024</t>
  </si>
  <si>
    <t>28-09-2024</t>
  </si>
  <si>
    <t>ORD1171</t>
  </si>
  <si>
    <t>ORD1062</t>
  </si>
  <si>
    <t>27-04-2024</t>
  </si>
  <si>
    <t>14-08-2024</t>
  </si>
  <si>
    <t>19-08-2024</t>
  </si>
  <si>
    <t>ORD1188</t>
  </si>
  <si>
    <t>19-02-2024</t>
  </si>
  <si>
    <t>02-04-2024</t>
  </si>
  <si>
    <t>05/06/2024</t>
  </si>
  <si>
    <t>01-07-2024</t>
  </si>
  <si>
    <t>ORD1194</t>
  </si>
  <si>
    <t>23-10-2024</t>
  </si>
  <si>
    <t>30-01-2024</t>
  </si>
  <si>
    <t>16-06-2024</t>
  </si>
  <si>
    <t>ORD1061</t>
  </si>
  <si>
    <t>09-04-2024</t>
  </si>
  <si>
    <t>01-08-2024</t>
  </si>
  <si>
    <t>ORD1125</t>
  </si>
  <si>
    <t>05-03-2024</t>
  </si>
  <si>
    <t>ORD1079</t>
  </si>
  <si>
    <t>15-08-2024</t>
  </si>
  <si>
    <t>10/19/2024</t>
  </si>
  <si>
    <t>10-05-2024</t>
  </si>
  <si>
    <t>ORD1059</t>
  </si>
  <si>
    <t>07-07-2024</t>
  </si>
  <si>
    <t>ORD1025</t>
  </si>
  <si>
    <t>23-05-2024</t>
  </si>
  <si>
    <t>09-07-2024</t>
  </si>
  <si>
    <t>ORD1087</t>
  </si>
  <si>
    <t>20-04-2024</t>
  </si>
  <si>
    <t>ORD1120</t>
  </si>
  <si>
    <t>ORD1130</t>
  </si>
  <si>
    <t>24-07-2024</t>
  </si>
  <si>
    <t>ORD1026</t>
  </si>
  <si>
    <t>20-08-2024</t>
  </si>
  <si>
    <t>01/30/2024</t>
  </si>
  <si>
    <t>ORD1217</t>
  </si>
  <si>
    <t>07-02-2024</t>
  </si>
  <si>
    <t>ORD1084</t>
  </si>
  <si>
    <t>05-02-2024</t>
  </si>
  <si>
    <t>02-01-2024</t>
  </si>
  <si>
    <t>29-06-2024</t>
  </si>
  <si>
    <t>25-06-2024</t>
  </si>
  <si>
    <t>ORD1147</t>
  </si>
  <si>
    <t>10-01-2024</t>
  </si>
  <si>
    <t>22-05-2024</t>
  </si>
  <si>
    <t>04-06-2024</t>
  </si>
  <si>
    <t>02/05/2024</t>
  </si>
  <si>
    <t>13-03-2024</t>
  </si>
  <si>
    <t>14-01-2024</t>
  </si>
  <si>
    <t>07-10-2024</t>
  </si>
  <si>
    <t>04-08-2024</t>
  </si>
  <si>
    <t>09/06/2024</t>
  </si>
  <si>
    <t>ORD1183</t>
  </si>
  <si>
    <t>30-04-2024</t>
  </si>
  <si>
    <t>ORD1065</t>
  </si>
  <si>
    <t>03/25/2024</t>
  </si>
  <si>
    <t>ORD1051</t>
  </si>
  <si>
    <t>10/04/2024</t>
  </si>
  <si>
    <t>04/22/2024</t>
  </si>
  <si>
    <t>ORD1144</t>
  </si>
  <si>
    <t>ORD1007</t>
  </si>
  <si>
    <t>06/27/2024</t>
  </si>
  <si>
    <t>22-02-2024</t>
  </si>
  <si>
    <t>ORD1009</t>
  </si>
  <si>
    <t>03-09-2024</t>
  </si>
  <si>
    <t>ORD1175</t>
  </si>
  <si>
    <t>Region Trim</t>
  </si>
  <si>
    <t>Sales Rep Proper</t>
  </si>
  <si>
    <t>Recalculate</t>
  </si>
  <si>
    <t>Payment Type Upper case</t>
  </si>
  <si>
    <t>Payment Type Proper</t>
  </si>
  <si>
    <t>Northotes Proper</t>
  </si>
  <si>
    <t>Unkonwn</t>
  </si>
  <si>
    <t>Unknow</t>
  </si>
  <si>
    <t>No comments</t>
  </si>
  <si>
    <t>Step</t>
  </si>
  <si>
    <t>Issue</t>
  </si>
  <si>
    <t>Tool/Formula</t>
  </si>
  <si>
    <t>Action Taken</t>
  </si>
  <si>
    <t>Result</t>
  </si>
  <si>
    <t>I have change the worksheet to table sheet to see my data Properly</t>
  </si>
  <si>
    <t>Ct + Alt +T</t>
  </si>
  <si>
    <t>It changes the worksheet come with a good look to clean</t>
  </si>
  <si>
    <t>It has better view the worksheet</t>
  </si>
  <si>
    <t>Duplicates</t>
  </si>
  <si>
    <t>Remove
Duplicates</t>
  </si>
  <si>
    <t>15 duplicate rows found and removed</t>
  </si>
  <si>
    <t>400 unique rows remain.</t>
  </si>
  <si>
    <t>Replace empty cells</t>
  </si>
  <si>
    <t xml:space="preserve">Filter </t>
  </si>
  <si>
    <t>all empty cells were found and replace</t>
  </si>
  <si>
    <t>it  has been replace with Unkonwn and no comments</t>
  </si>
  <si>
    <t>Find missign text and replace it</t>
  </si>
  <si>
    <t>Ct +H</t>
  </si>
  <si>
    <t xml:space="preserve">I will each and every column remove the uncomplete of sentence </t>
  </si>
  <si>
    <t>To make it full meaning sentence with one who are in the cell for example from no. to north</t>
  </si>
  <si>
    <t>Remove the extra space,proper case and upper case</t>
  </si>
  <si>
    <t>*=TRIM,=PROPER,=UPPER*</t>
  </si>
  <si>
    <t>Have change the all text who extra space to remove it and change some case to proper and upper</t>
  </si>
  <si>
    <t>Now all it fix for bette anlytics</t>
  </si>
  <si>
    <t>Date column format</t>
  </si>
  <si>
    <t>change the format</t>
  </si>
  <si>
    <t>From normal format like normal numbers to date format</t>
  </si>
  <si>
    <t>now  all number are in the date format for analytics</t>
  </si>
  <si>
    <t>Wrong calculation</t>
  </si>
  <si>
    <t>*=i2*j2</t>
  </si>
  <si>
    <t>Recalculate the units sold and unit price</t>
  </si>
  <si>
    <t>and get the real answer for the recalculation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</si>
</sst>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9"/>
      <color theme="1"/>
      <name val="Google Sans Mon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14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/>
    <xf numFmtId="0" fontId="3" fillId="0" borderId="0" xfId="0" applyFont="1" applyAlignment="1"/>
    <xf numFmtId="0" fontId="3" fillId="0" borderId="0" xfId="0" applyFont="1"/>
    <xf numFmtId="0" fontId="4" fillId="0" borderId="0" xfId="0" applyFont="1" applyAlignment="1"/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/>
    <xf numFmtId="164" fontId="0" fillId="0" borderId="0" xfId="0" applyNumberFormat="1" applyFont="1" applyAlignme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Raw_Data Cleanning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Q1000">
  <autoFilter ref="A1:Q1000"/>
  <tableColumns count="17">
    <tableColumn id="1" name="Date"/>
    <tableColumn id="2" name="Region Trim"/>
    <tableColumn id="3" name="Region"/>
    <tableColumn id="4" name="Sales Rep"/>
    <tableColumn id="5" name="Sales Rep Proper"/>
    <tableColumn id="6" name="Customer"/>
    <tableColumn id="7" name="Category"/>
    <tableColumn id="8" name="Product"/>
    <tableColumn id="9" name="Units Sold"/>
    <tableColumn id="10" name="Unit Price"/>
    <tableColumn id="11" name="Recalculate"/>
    <tableColumn id="12" name="Order ID"/>
    <tableColumn id="13" name="Payment Type Upper case"/>
    <tableColumn id="14" name="Payment Type"/>
    <tableColumn id="15" name="Payment Type Proper"/>
    <tableColumn id="16" name="Northotes"/>
    <tableColumn id="17" name="Northotes Proper"/>
  </tableColumns>
  <tableStyleInfo name="Raw_Data Cleann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sqref="A1:A1048576"/>
    </sheetView>
  </sheetViews>
  <sheetFormatPr defaultColWidth="14.453125" defaultRowHeight="15" customHeight="1"/>
  <cols>
    <col min="1" max="1" width="10.453125" style="17" customWidth="1"/>
    <col min="2" max="2" width="6.6328125" customWidth="1"/>
    <col min="3" max="3" width="8.6328125" customWidth="1"/>
    <col min="4" max="4" width="13.81640625" customWidth="1"/>
    <col min="5" max="5" width="15" customWidth="1"/>
    <col min="6" max="6" width="12.54296875" customWidth="1"/>
    <col min="7" max="7" width="9.1796875" customWidth="1"/>
    <col min="8" max="8" width="8.90625" customWidth="1"/>
    <col min="9" max="9" width="8.54296875" customWidth="1"/>
    <col min="10" max="10" width="13.26953125" customWidth="1"/>
    <col min="11" max="11" width="11.453125" customWidth="1"/>
    <col min="12" max="26" width="8.7265625" customWidth="1"/>
  </cols>
  <sheetData>
    <row r="1" spans="1:11" ht="14.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4.5">
      <c r="A2" s="16" t="s">
        <v>11</v>
      </c>
      <c r="B2" s="4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>
        <v>15</v>
      </c>
      <c r="H2" s="3">
        <v>78.92</v>
      </c>
      <c r="I2" s="3" t="s">
        <v>17</v>
      </c>
      <c r="J2" s="3" t="s">
        <v>18</v>
      </c>
      <c r="K2" s="3" t="s">
        <v>19</v>
      </c>
    </row>
    <row r="3" spans="1:11" ht="14.5">
      <c r="A3" s="16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>
        <v>16</v>
      </c>
      <c r="H3" s="3">
        <v>400.15</v>
      </c>
      <c r="I3" s="3" t="s">
        <v>26</v>
      </c>
      <c r="K3" s="3" t="s">
        <v>19</v>
      </c>
    </row>
    <row r="4" spans="1:11" ht="14.5">
      <c r="A4" s="16" t="s">
        <v>27</v>
      </c>
      <c r="C4" s="3" t="s">
        <v>28</v>
      </c>
      <c r="D4" s="3" t="s">
        <v>29</v>
      </c>
      <c r="E4" s="3" t="s">
        <v>24</v>
      </c>
      <c r="F4" s="3" t="s">
        <v>30</v>
      </c>
      <c r="G4" s="3">
        <v>1</v>
      </c>
      <c r="H4" s="3">
        <v>85.59</v>
      </c>
      <c r="I4" s="3" t="s">
        <v>31</v>
      </c>
      <c r="J4" s="3" t="s">
        <v>32</v>
      </c>
      <c r="K4" s="3" t="s">
        <v>33</v>
      </c>
    </row>
    <row r="5" spans="1:11" ht="14.5">
      <c r="A5" s="16" t="s">
        <v>34</v>
      </c>
      <c r="B5" s="3" t="s">
        <v>35</v>
      </c>
      <c r="C5" s="3" t="s">
        <v>13</v>
      </c>
      <c r="D5" s="3" t="s">
        <v>36</v>
      </c>
      <c r="E5" s="4" t="s">
        <v>37</v>
      </c>
      <c r="F5" s="3" t="s">
        <v>38</v>
      </c>
      <c r="G5" s="3">
        <v>1</v>
      </c>
      <c r="H5" s="3">
        <v>310.23</v>
      </c>
      <c r="I5" s="3" t="s">
        <v>39</v>
      </c>
      <c r="J5" s="3" t="s">
        <v>32</v>
      </c>
      <c r="K5" s="3" t="s">
        <v>40</v>
      </c>
    </row>
    <row r="6" spans="1:11" ht="14.5">
      <c r="A6" s="16" t="s">
        <v>41</v>
      </c>
      <c r="B6" s="3" t="s">
        <v>21</v>
      </c>
      <c r="C6" s="3" t="s">
        <v>42</v>
      </c>
      <c r="D6" s="3" t="s">
        <v>29</v>
      </c>
      <c r="E6" s="4" t="s">
        <v>43</v>
      </c>
      <c r="F6" s="3" t="s">
        <v>30</v>
      </c>
      <c r="G6" s="3">
        <v>7</v>
      </c>
      <c r="H6" s="3">
        <v>217.35</v>
      </c>
      <c r="I6" s="3" t="s">
        <v>44</v>
      </c>
      <c r="J6" s="3" t="s">
        <v>32</v>
      </c>
      <c r="K6" s="3" t="s">
        <v>19</v>
      </c>
    </row>
    <row r="7" spans="1:11" ht="14.5">
      <c r="A7" s="16" t="s">
        <v>45</v>
      </c>
      <c r="B7" s="3" t="s">
        <v>46</v>
      </c>
      <c r="C7" s="3" t="s">
        <v>42</v>
      </c>
      <c r="D7" s="3" t="s">
        <v>47</v>
      </c>
      <c r="E7" s="4" t="s">
        <v>43</v>
      </c>
      <c r="F7" s="3" t="s">
        <v>16</v>
      </c>
      <c r="G7" s="3">
        <v>17</v>
      </c>
      <c r="H7" s="3">
        <v>172.44</v>
      </c>
      <c r="I7" s="3" t="s">
        <v>48</v>
      </c>
      <c r="J7" s="3" t="s">
        <v>32</v>
      </c>
      <c r="K7" s="3" t="s">
        <v>40</v>
      </c>
    </row>
    <row r="8" spans="1:11" ht="14.5">
      <c r="A8" s="16" t="s">
        <v>49</v>
      </c>
      <c r="B8" s="3" t="s">
        <v>35</v>
      </c>
      <c r="C8" s="3" t="s">
        <v>28</v>
      </c>
      <c r="D8" s="3" t="s">
        <v>50</v>
      </c>
      <c r="E8" s="3" t="s">
        <v>24</v>
      </c>
      <c r="F8" s="3" t="s">
        <v>30</v>
      </c>
      <c r="G8" s="3">
        <v>8</v>
      </c>
      <c r="H8" s="3">
        <v>293.04000000000002</v>
      </c>
      <c r="I8" s="3" t="s">
        <v>51</v>
      </c>
      <c r="J8" s="3" t="s">
        <v>32</v>
      </c>
      <c r="K8" s="3" t="s">
        <v>52</v>
      </c>
    </row>
    <row r="9" spans="1:11" ht="14.5">
      <c r="A9" s="16" t="s">
        <v>53</v>
      </c>
      <c r="B9" s="3" t="s">
        <v>54</v>
      </c>
      <c r="C9" s="3" t="s">
        <v>42</v>
      </c>
      <c r="D9" s="3" t="s">
        <v>14</v>
      </c>
      <c r="E9" s="4" t="s">
        <v>15</v>
      </c>
      <c r="F9" s="3" t="s">
        <v>55</v>
      </c>
      <c r="G9" s="3">
        <v>12</v>
      </c>
      <c r="H9" s="3">
        <v>325.14999999999998</v>
      </c>
      <c r="I9" s="3" t="s">
        <v>56</v>
      </c>
      <c r="J9" s="3" t="s">
        <v>57</v>
      </c>
      <c r="K9" s="3" t="s">
        <v>40</v>
      </c>
    </row>
    <row r="10" spans="1:11" ht="14.5">
      <c r="A10" s="16" t="s">
        <v>58</v>
      </c>
      <c r="B10" s="4" t="s">
        <v>12</v>
      </c>
      <c r="C10" s="3" t="s">
        <v>59</v>
      </c>
      <c r="D10" s="3" t="s">
        <v>14</v>
      </c>
      <c r="E10" s="4" t="s">
        <v>15</v>
      </c>
      <c r="F10" s="3" t="s">
        <v>25</v>
      </c>
      <c r="G10" s="3">
        <v>1</v>
      </c>
      <c r="H10" s="3">
        <v>294.5</v>
      </c>
      <c r="I10" s="3" t="s">
        <v>60</v>
      </c>
      <c r="J10" s="3" t="s">
        <v>57</v>
      </c>
      <c r="K10" s="3" t="s">
        <v>33</v>
      </c>
    </row>
    <row r="11" spans="1:11" ht="14.5">
      <c r="A11" s="16" t="s">
        <v>61</v>
      </c>
      <c r="B11" s="3" t="s">
        <v>21</v>
      </c>
      <c r="C11" s="3" t="s">
        <v>62</v>
      </c>
      <c r="D11" s="3" t="s">
        <v>29</v>
      </c>
      <c r="E11" s="4" t="s">
        <v>37</v>
      </c>
      <c r="F11" s="3" t="s">
        <v>63</v>
      </c>
      <c r="G11" s="3">
        <v>10</v>
      </c>
      <c r="H11" s="3">
        <v>456.9</v>
      </c>
      <c r="I11" s="3" t="s">
        <v>64</v>
      </c>
      <c r="J11" s="3" t="s">
        <v>65</v>
      </c>
      <c r="K11" s="3" t="s">
        <v>33</v>
      </c>
    </row>
    <row r="12" spans="1:11" ht="14.5">
      <c r="A12" s="16" t="s">
        <v>66</v>
      </c>
      <c r="C12" s="3" t="s">
        <v>42</v>
      </c>
      <c r="D12" s="3" t="s">
        <v>36</v>
      </c>
      <c r="E12" s="4" t="s">
        <v>15</v>
      </c>
      <c r="F12" s="3" t="s">
        <v>67</v>
      </c>
      <c r="G12" s="3">
        <v>10</v>
      </c>
      <c r="H12" s="3">
        <v>156.59</v>
      </c>
      <c r="I12" s="3" t="s">
        <v>68</v>
      </c>
      <c r="J12" s="3" t="s">
        <v>32</v>
      </c>
      <c r="K12" s="3" t="s">
        <v>40</v>
      </c>
    </row>
    <row r="13" spans="1:11" ht="14.5">
      <c r="A13" s="16" t="s">
        <v>69</v>
      </c>
      <c r="B13" s="3" t="s">
        <v>54</v>
      </c>
      <c r="C13" s="3" t="s">
        <v>42</v>
      </c>
      <c r="D13" s="3" t="s">
        <v>23</v>
      </c>
      <c r="E13" s="3" t="s">
        <v>70</v>
      </c>
      <c r="F13" s="3" t="s">
        <v>71</v>
      </c>
      <c r="G13" s="3">
        <v>17</v>
      </c>
      <c r="H13" s="3">
        <v>130.1</v>
      </c>
      <c r="I13" s="3" t="s">
        <v>72</v>
      </c>
      <c r="J13" s="3" t="s">
        <v>18</v>
      </c>
    </row>
    <row r="14" spans="1:11" ht="14.5">
      <c r="A14" s="16" t="s">
        <v>73</v>
      </c>
      <c r="B14" s="3" t="s">
        <v>21</v>
      </c>
      <c r="C14" s="3" t="s">
        <v>13</v>
      </c>
      <c r="D14" s="3" t="s">
        <v>50</v>
      </c>
      <c r="F14" s="3" t="s">
        <v>55</v>
      </c>
      <c r="G14" s="3">
        <v>18</v>
      </c>
      <c r="H14" s="3">
        <v>400.77</v>
      </c>
      <c r="I14" s="3" t="s">
        <v>74</v>
      </c>
      <c r="J14" s="3" t="s">
        <v>75</v>
      </c>
      <c r="K14" s="3" t="s">
        <v>19</v>
      </c>
    </row>
    <row r="15" spans="1:11" ht="14.5">
      <c r="A15" s="16" t="s">
        <v>76</v>
      </c>
      <c r="B15" s="4" t="s">
        <v>12</v>
      </c>
      <c r="C15" s="3" t="s">
        <v>77</v>
      </c>
      <c r="D15" s="3" t="s">
        <v>36</v>
      </c>
      <c r="E15" s="4" t="s">
        <v>37</v>
      </c>
      <c r="F15" s="3" t="s">
        <v>78</v>
      </c>
      <c r="G15" s="3">
        <v>12</v>
      </c>
      <c r="H15" s="3">
        <v>188.26</v>
      </c>
      <c r="I15" s="3" t="s">
        <v>79</v>
      </c>
      <c r="J15" s="3" t="s">
        <v>32</v>
      </c>
      <c r="K15" s="3" t="s">
        <v>80</v>
      </c>
    </row>
    <row r="16" spans="1:11" ht="14.5">
      <c r="A16" s="16" t="s">
        <v>81</v>
      </c>
      <c r="B16" s="4" t="s">
        <v>12</v>
      </c>
      <c r="C16" s="3" t="s">
        <v>28</v>
      </c>
      <c r="D16" s="3" t="s">
        <v>14</v>
      </c>
      <c r="E16" s="4" t="s">
        <v>43</v>
      </c>
      <c r="F16" s="3" t="s">
        <v>78</v>
      </c>
      <c r="G16" s="3">
        <v>20</v>
      </c>
      <c r="H16" s="3">
        <v>149.16</v>
      </c>
      <c r="I16" s="3" t="s">
        <v>82</v>
      </c>
      <c r="J16" s="3" t="s">
        <v>32</v>
      </c>
      <c r="K16" s="3" t="s">
        <v>83</v>
      </c>
    </row>
    <row r="17" spans="1:11" ht="14.5">
      <c r="A17" s="16" t="s">
        <v>84</v>
      </c>
      <c r="B17" s="3" t="s">
        <v>21</v>
      </c>
      <c r="C17" s="3" t="s">
        <v>13</v>
      </c>
      <c r="D17" s="3" t="s">
        <v>47</v>
      </c>
      <c r="E17" s="4" t="s">
        <v>15</v>
      </c>
      <c r="F17" s="3" t="s">
        <v>63</v>
      </c>
      <c r="G17" s="3">
        <v>1</v>
      </c>
      <c r="H17" s="3">
        <v>68.83</v>
      </c>
      <c r="I17" s="3" t="s">
        <v>85</v>
      </c>
      <c r="J17" s="3" t="s">
        <v>65</v>
      </c>
      <c r="K17" s="3" t="s">
        <v>80</v>
      </c>
    </row>
    <row r="18" spans="1:11" ht="14.5">
      <c r="A18" s="16" t="s">
        <v>86</v>
      </c>
      <c r="B18" s="3" t="s">
        <v>46</v>
      </c>
      <c r="C18" s="3" t="s">
        <v>87</v>
      </c>
      <c r="D18" s="3" t="s">
        <v>14</v>
      </c>
      <c r="E18" s="4" t="s">
        <v>43</v>
      </c>
      <c r="F18" s="3" t="s">
        <v>88</v>
      </c>
      <c r="G18" s="3">
        <v>20</v>
      </c>
      <c r="H18" s="3">
        <v>468.1</v>
      </c>
      <c r="I18" s="3" t="s">
        <v>89</v>
      </c>
      <c r="J18" s="3" t="s">
        <v>32</v>
      </c>
      <c r="K18" s="3" t="s">
        <v>52</v>
      </c>
    </row>
    <row r="19" spans="1:11" ht="14.5">
      <c r="A19" s="16" t="s">
        <v>90</v>
      </c>
      <c r="B19" s="4" t="s">
        <v>12</v>
      </c>
      <c r="C19" s="3" t="s">
        <v>62</v>
      </c>
      <c r="D19" s="3" t="s">
        <v>36</v>
      </c>
      <c r="E19" s="3" t="s">
        <v>24</v>
      </c>
      <c r="F19" s="4" t="s">
        <v>91</v>
      </c>
      <c r="G19" s="3">
        <v>12</v>
      </c>
      <c r="H19" s="3">
        <v>5.86</v>
      </c>
      <c r="I19" s="3" t="s">
        <v>92</v>
      </c>
      <c r="J19" s="3" t="s">
        <v>93</v>
      </c>
      <c r="K19" s="3" t="s">
        <v>83</v>
      </c>
    </row>
    <row r="20" spans="1:11" ht="14.5">
      <c r="A20" s="16" t="s">
        <v>94</v>
      </c>
      <c r="B20" s="3" t="s">
        <v>35</v>
      </c>
      <c r="C20" s="3" t="s">
        <v>62</v>
      </c>
      <c r="D20" s="3" t="s">
        <v>47</v>
      </c>
      <c r="E20" s="3" t="s">
        <v>24</v>
      </c>
      <c r="F20" s="4" t="s">
        <v>91</v>
      </c>
      <c r="G20" s="3">
        <v>6</v>
      </c>
      <c r="H20" s="3">
        <v>423.28</v>
      </c>
      <c r="I20" s="3" t="s">
        <v>95</v>
      </c>
      <c r="J20" s="3" t="s">
        <v>18</v>
      </c>
      <c r="K20" s="3" t="s">
        <v>80</v>
      </c>
    </row>
    <row r="21" spans="1:11" ht="14.5">
      <c r="A21" s="16" t="s">
        <v>96</v>
      </c>
      <c r="B21" s="3" t="s">
        <v>54</v>
      </c>
      <c r="C21" s="3" t="s">
        <v>42</v>
      </c>
      <c r="D21" s="3" t="s">
        <v>36</v>
      </c>
      <c r="E21" s="4" t="s">
        <v>37</v>
      </c>
      <c r="F21" s="3" t="s">
        <v>78</v>
      </c>
      <c r="G21" s="3">
        <v>11</v>
      </c>
      <c r="H21" s="3">
        <v>472.34</v>
      </c>
      <c r="I21" s="3" t="s">
        <v>97</v>
      </c>
      <c r="J21" s="3" t="s">
        <v>57</v>
      </c>
    </row>
    <row r="22" spans="1:11" ht="14.5">
      <c r="A22" s="16" t="s">
        <v>98</v>
      </c>
      <c r="B22" s="3" t="s">
        <v>35</v>
      </c>
      <c r="C22" s="3" t="s">
        <v>22</v>
      </c>
      <c r="D22" s="3" t="s">
        <v>23</v>
      </c>
      <c r="E22" s="4" t="s">
        <v>15</v>
      </c>
      <c r="F22" s="3" t="s">
        <v>16</v>
      </c>
      <c r="G22" s="3">
        <v>7</v>
      </c>
      <c r="H22" s="3">
        <v>206.29</v>
      </c>
      <c r="I22" s="3" t="s">
        <v>99</v>
      </c>
      <c r="J22" s="3" t="s">
        <v>18</v>
      </c>
      <c r="K22" s="3" t="s">
        <v>19</v>
      </c>
    </row>
    <row r="23" spans="1:11" ht="14.5">
      <c r="A23" s="16" t="s">
        <v>100</v>
      </c>
      <c r="B23" s="3" t="s">
        <v>21</v>
      </c>
      <c r="C23" s="3" t="s">
        <v>28</v>
      </c>
      <c r="D23" s="3" t="s">
        <v>29</v>
      </c>
      <c r="E23" s="4" t="s">
        <v>37</v>
      </c>
      <c r="F23" s="3" t="s">
        <v>101</v>
      </c>
      <c r="G23" s="3">
        <v>14</v>
      </c>
      <c r="H23" s="3">
        <v>388.51</v>
      </c>
      <c r="I23" s="3" t="s">
        <v>102</v>
      </c>
      <c r="J23" s="3" t="s">
        <v>75</v>
      </c>
      <c r="K23" s="3" t="s">
        <v>40</v>
      </c>
    </row>
    <row r="24" spans="1:11" ht="14.5">
      <c r="A24" s="16" t="s">
        <v>53</v>
      </c>
      <c r="B24" s="3" t="s">
        <v>54</v>
      </c>
      <c r="C24" s="3" t="s">
        <v>42</v>
      </c>
      <c r="D24" s="3" t="s">
        <v>14</v>
      </c>
      <c r="E24" s="4" t="s">
        <v>15</v>
      </c>
      <c r="F24" s="3" t="s">
        <v>55</v>
      </c>
      <c r="G24" s="3">
        <v>12</v>
      </c>
      <c r="H24" s="3">
        <v>325.14999999999998</v>
      </c>
      <c r="I24" s="3" t="s">
        <v>56</v>
      </c>
      <c r="J24" s="3" t="s">
        <v>57</v>
      </c>
      <c r="K24" s="3" t="s">
        <v>40</v>
      </c>
    </row>
    <row r="25" spans="1:11" ht="14.5">
      <c r="A25" s="16" t="s">
        <v>103</v>
      </c>
      <c r="B25" s="4" t="s">
        <v>12</v>
      </c>
      <c r="C25" s="3" t="s">
        <v>87</v>
      </c>
      <c r="D25" s="3" t="s">
        <v>23</v>
      </c>
      <c r="F25" s="3" t="s">
        <v>16</v>
      </c>
      <c r="G25" s="3">
        <v>16</v>
      </c>
      <c r="H25" s="3">
        <v>334.77</v>
      </c>
      <c r="I25" s="3" t="s">
        <v>104</v>
      </c>
      <c r="K25" s="3" t="s">
        <v>80</v>
      </c>
    </row>
    <row r="26" spans="1:11" ht="14.5">
      <c r="A26" s="16" t="s">
        <v>105</v>
      </c>
      <c r="B26" s="3" t="s">
        <v>35</v>
      </c>
      <c r="C26" s="3" t="s">
        <v>22</v>
      </c>
      <c r="D26" s="3" t="s">
        <v>36</v>
      </c>
      <c r="E26" s="3" t="s">
        <v>70</v>
      </c>
      <c r="F26" s="3" t="s">
        <v>106</v>
      </c>
      <c r="G26" s="3">
        <v>5</v>
      </c>
      <c r="H26" s="3">
        <v>176.62</v>
      </c>
      <c r="I26" s="3" t="s">
        <v>107</v>
      </c>
      <c r="J26" s="3" t="s">
        <v>57</v>
      </c>
      <c r="K26" s="3" t="s">
        <v>83</v>
      </c>
    </row>
    <row r="27" spans="1:11" ht="14.5">
      <c r="A27" s="16" t="s">
        <v>108</v>
      </c>
      <c r="C27" s="3" t="s">
        <v>42</v>
      </c>
      <c r="D27" s="3" t="s">
        <v>29</v>
      </c>
      <c r="F27" s="3" t="s">
        <v>101</v>
      </c>
      <c r="G27" s="3">
        <v>3</v>
      </c>
      <c r="H27" s="3">
        <v>433.96</v>
      </c>
      <c r="I27" s="3" t="s">
        <v>26</v>
      </c>
      <c r="J27" s="3" t="s">
        <v>93</v>
      </c>
      <c r="K27" s="3" t="s">
        <v>83</v>
      </c>
    </row>
    <row r="28" spans="1:11" ht="14.5">
      <c r="A28" s="16" t="s">
        <v>109</v>
      </c>
      <c r="B28" s="3" t="s">
        <v>54</v>
      </c>
      <c r="C28" s="3" t="s">
        <v>28</v>
      </c>
      <c r="D28" s="3" t="s">
        <v>36</v>
      </c>
      <c r="E28" s="4" t="s">
        <v>43</v>
      </c>
      <c r="F28" s="3" t="s">
        <v>38</v>
      </c>
      <c r="G28" s="3">
        <v>9</v>
      </c>
      <c r="H28" s="3">
        <v>337.87</v>
      </c>
      <c r="I28" s="3" t="s">
        <v>110</v>
      </c>
      <c r="J28" s="3" t="s">
        <v>93</v>
      </c>
      <c r="K28" s="3" t="s">
        <v>19</v>
      </c>
    </row>
    <row r="29" spans="1:11" ht="14.5">
      <c r="A29" s="16" t="s">
        <v>111</v>
      </c>
      <c r="B29" s="4" t="s">
        <v>12</v>
      </c>
      <c r="C29" s="3" t="s">
        <v>59</v>
      </c>
      <c r="D29" s="3" t="s">
        <v>29</v>
      </c>
      <c r="E29" s="3" t="s">
        <v>70</v>
      </c>
      <c r="F29" s="3" t="s">
        <v>112</v>
      </c>
      <c r="G29" s="3">
        <v>19</v>
      </c>
      <c r="H29" s="3">
        <v>77.05</v>
      </c>
      <c r="I29" s="3" t="s">
        <v>113</v>
      </c>
      <c r="J29" s="3" t="s">
        <v>57</v>
      </c>
      <c r="K29" s="3" t="s">
        <v>40</v>
      </c>
    </row>
    <row r="30" spans="1:11" ht="14.5">
      <c r="A30" s="16" t="s">
        <v>114</v>
      </c>
      <c r="B30" s="3" t="s">
        <v>54</v>
      </c>
      <c r="C30" s="3" t="s">
        <v>22</v>
      </c>
      <c r="D30" s="3" t="s">
        <v>14</v>
      </c>
      <c r="E30" s="3" t="s">
        <v>24</v>
      </c>
      <c r="F30" s="3" t="s">
        <v>71</v>
      </c>
      <c r="G30" s="3">
        <v>8</v>
      </c>
      <c r="H30" s="3">
        <v>442.59</v>
      </c>
      <c r="I30" s="3" t="s">
        <v>115</v>
      </c>
      <c r="J30" s="3" t="s">
        <v>57</v>
      </c>
    </row>
    <row r="31" spans="1:11" ht="14.5">
      <c r="A31" s="16" t="s">
        <v>116</v>
      </c>
      <c r="B31" s="4" t="s">
        <v>12</v>
      </c>
      <c r="C31" s="3" t="s">
        <v>62</v>
      </c>
      <c r="D31" s="3" t="s">
        <v>14</v>
      </c>
      <c r="E31" s="4" t="s">
        <v>37</v>
      </c>
      <c r="F31" s="3" t="s">
        <v>117</v>
      </c>
      <c r="G31" s="3">
        <v>18</v>
      </c>
      <c r="H31" s="3">
        <v>207.03</v>
      </c>
      <c r="I31" s="3" t="s">
        <v>60</v>
      </c>
      <c r="J31" s="3" t="s">
        <v>93</v>
      </c>
      <c r="K31" s="3" t="s">
        <v>19</v>
      </c>
    </row>
    <row r="32" spans="1:11" ht="14.5">
      <c r="A32" s="16" t="s">
        <v>118</v>
      </c>
      <c r="C32" s="3" t="s">
        <v>87</v>
      </c>
      <c r="D32" s="3" t="s">
        <v>29</v>
      </c>
      <c r="E32" s="4" t="s">
        <v>43</v>
      </c>
      <c r="F32" s="3" t="s">
        <v>106</v>
      </c>
      <c r="G32" s="3">
        <v>8</v>
      </c>
      <c r="H32" s="3">
        <v>287.8</v>
      </c>
      <c r="I32" s="3" t="s">
        <v>119</v>
      </c>
      <c r="K32" s="3" t="s">
        <v>52</v>
      </c>
    </row>
    <row r="33" spans="1:11" ht="14.5">
      <c r="A33" s="16" t="s">
        <v>120</v>
      </c>
      <c r="B33" s="3" t="s">
        <v>21</v>
      </c>
      <c r="C33" s="3" t="s">
        <v>59</v>
      </c>
      <c r="D33" s="3" t="s">
        <v>23</v>
      </c>
      <c r="E33" s="4" t="s">
        <v>15</v>
      </c>
      <c r="F33" s="3" t="s">
        <v>88</v>
      </c>
      <c r="G33" s="3">
        <v>17</v>
      </c>
      <c r="H33" s="3">
        <v>221.48</v>
      </c>
      <c r="I33" s="3" t="s">
        <v>121</v>
      </c>
      <c r="K33" s="3" t="s">
        <v>33</v>
      </c>
    </row>
    <row r="34" spans="1:11" ht="14.5">
      <c r="A34" s="16" t="s">
        <v>122</v>
      </c>
      <c r="B34" s="4" t="s">
        <v>12</v>
      </c>
      <c r="C34" s="3" t="s">
        <v>22</v>
      </c>
      <c r="D34" s="3" t="s">
        <v>50</v>
      </c>
      <c r="E34" s="4" t="s">
        <v>43</v>
      </c>
      <c r="F34" s="3" t="s">
        <v>67</v>
      </c>
      <c r="G34" s="3">
        <v>12</v>
      </c>
      <c r="H34" s="3">
        <v>48.72</v>
      </c>
      <c r="I34" s="3" t="s">
        <v>123</v>
      </c>
      <c r="J34" s="3" t="s">
        <v>93</v>
      </c>
    </row>
    <row r="35" spans="1:11" ht="14.5">
      <c r="A35" s="16" t="s">
        <v>124</v>
      </c>
      <c r="B35" s="4" t="s">
        <v>12</v>
      </c>
      <c r="C35" s="3" t="s">
        <v>13</v>
      </c>
      <c r="D35" s="3" t="s">
        <v>47</v>
      </c>
      <c r="E35" s="4" t="s">
        <v>43</v>
      </c>
      <c r="F35" s="3" t="s">
        <v>112</v>
      </c>
      <c r="G35" s="3">
        <v>8</v>
      </c>
      <c r="H35" s="3">
        <v>467.19</v>
      </c>
      <c r="I35" s="3" t="s">
        <v>125</v>
      </c>
      <c r="J35" s="3" t="s">
        <v>65</v>
      </c>
      <c r="K35" s="3" t="s">
        <v>52</v>
      </c>
    </row>
    <row r="36" spans="1:11" ht="14.5">
      <c r="A36" s="16" t="s">
        <v>126</v>
      </c>
      <c r="C36" s="3" t="s">
        <v>59</v>
      </c>
      <c r="D36" s="3" t="s">
        <v>14</v>
      </c>
      <c r="F36" s="3" t="s">
        <v>127</v>
      </c>
      <c r="G36" s="3">
        <v>18</v>
      </c>
      <c r="H36" s="3">
        <v>69.06</v>
      </c>
      <c r="I36" s="3" t="s">
        <v>128</v>
      </c>
      <c r="K36" s="3" t="s">
        <v>33</v>
      </c>
    </row>
    <row r="37" spans="1:11" ht="14.5">
      <c r="A37" s="16" t="s">
        <v>129</v>
      </c>
      <c r="C37" s="3" t="s">
        <v>22</v>
      </c>
      <c r="D37" s="3" t="s">
        <v>29</v>
      </c>
      <c r="F37" s="3" t="s">
        <v>101</v>
      </c>
      <c r="G37" s="3">
        <v>12</v>
      </c>
      <c r="H37" s="3">
        <v>442.79</v>
      </c>
      <c r="I37" s="3" t="s">
        <v>130</v>
      </c>
      <c r="J37" s="3" t="s">
        <v>32</v>
      </c>
      <c r="K37" s="3" t="s">
        <v>83</v>
      </c>
    </row>
    <row r="38" spans="1:11" ht="14.5">
      <c r="A38" s="16" t="s">
        <v>131</v>
      </c>
      <c r="B38" s="4" t="s">
        <v>12</v>
      </c>
      <c r="C38" s="3" t="s">
        <v>59</v>
      </c>
      <c r="D38" s="3" t="s">
        <v>47</v>
      </c>
      <c r="E38" s="3" t="s">
        <v>24</v>
      </c>
      <c r="F38" s="3" t="s">
        <v>88</v>
      </c>
      <c r="G38" s="3">
        <v>17</v>
      </c>
      <c r="H38" s="3">
        <v>414.19</v>
      </c>
      <c r="I38" s="3" t="s">
        <v>132</v>
      </c>
      <c r="J38" s="3" t="s">
        <v>75</v>
      </c>
      <c r="K38" s="3" t="s">
        <v>40</v>
      </c>
    </row>
    <row r="39" spans="1:11" ht="14.5">
      <c r="A39" s="16" t="s">
        <v>133</v>
      </c>
      <c r="B39" s="4" t="s">
        <v>12</v>
      </c>
      <c r="C39" s="3" t="s">
        <v>87</v>
      </c>
      <c r="D39" s="3" t="s">
        <v>29</v>
      </c>
      <c r="E39" s="4" t="s">
        <v>43</v>
      </c>
      <c r="F39" s="3" t="s">
        <v>25</v>
      </c>
      <c r="G39" s="3">
        <v>7</v>
      </c>
      <c r="H39" s="3">
        <v>316.58</v>
      </c>
      <c r="I39" s="3" t="s">
        <v>134</v>
      </c>
      <c r="J39" s="3" t="s">
        <v>65</v>
      </c>
      <c r="K39" s="3" t="s">
        <v>40</v>
      </c>
    </row>
    <row r="40" spans="1:11" ht="14.5">
      <c r="A40" s="16" t="s">
        <v>135</v>
      </c>
      <c r="C40" s="3" t="s">
        <v>28</v>
      </c>
      <c r="D40" s="3" t="s">
        <v>36</v>
      </c>
      <c r="E40" s="3" t="s">
        <v>70</v>
      </c>
      <c r="F40" s="3" t="s">
        <v>71</v>
      </c>
      <c r="G40" s="3">
        <v>9</v>
      </c>
      <c r="H40" s="3">
        <v>455.07</v>
      </c>
      <c r="I40" s="3" t="s">
        <v>136</v>
      </c>
      <c r="J40" s="3" t="s">
        <v>65</v>
      </c>
      <c r="K40" s="3" t="s">
        <v>80</v>
      </c>
    </row>
    <row r="41" spans="1:11" ht="14.5">
      <c r="A41" s="16" t="s">
        <v>137</v>
      </c>
      <c r="B41" s="4" t="s">
        <v>12</v>
      </c>
      <c r="C41" s="3" t="s">
        <v>62</v>
      </c>
      <c r="D41" s="3" t="s">
        <v>36</v>
      </c>
      <c r="E41" s="3" t="s">
        <v>24</v>
      </c>
      <c r="F41" s="3" t="s">
        <v>71</v>
      </c>
      <c r="G41" s="3">
        <v>10</v>
      </c>
      <c r="H41" s="3">
        <v>38.85</v>
      </c>
      <c r="I41" s="3" t="s">
        <v>138</v>
      </c>
      <c r="J41" s="3" t="s">
        <v>32</v>
      </c>
      <c r="K41" s="3" t="s">
        <v>80</v>
      </c>
    </row>
    <row r="42" spans="1:11" ht="14.5">
      <c r="A42" s="16" t="s">
        <v>139</v>
      </c>
      <c r="B42" s="4" t="s">
        <v>12</v>
      </c>
      <c r="C42" s="3" t="s">
        <v>13</v>
      </c>
      <c r="D42" s="3" t="s">
        <v>47</v>
      </c>
      <c r="E42" s="4" t="s">
        <v>43</v>
      </c>
      <c r="F42" s="3" t="s">
        <v>127</v>
      </c>
      <c r="G42" s="3">
        <v>13</v>
      </c>
      <c r="H42" s="3">
        <v>305.74</v>
      </c>
      <c r="I42" s="3" t="s">
        <v>140</v>
      </c>
      <c r="J42" s="3" t="s">
        <v>75</v>
      </c>
      <c r="K42" s="3" t="s">
        <v>80</v>
      </c>
    </row>
    <row r="43" spans="1:11" ht="14.5">
      <c r="A43" s="16" t="s">
        <v>94</v>
      </c>
      <c r="B43" s="4" t="s">
        <v>12</v>
      </c>
      <c r="C43" s="3" t="s">
        <v>87</v>
      </c>
      <c r="D43" s="3" t="s">
        <v>14</v>
      </c>
      <c r="E43" s="4" t="s">
        <v>37</v>
      </c>
      <c r="F43" s="3" t="s">
        <v>63</v>
      </c>
      <c r="G43" s="3">
        <v>8</v>
      </c>
      <c r="H43" s="3">
        <v>277.63</v>
      </c>
      <c r="I43" s="3" t="s">
        <v>141</v>
      </c>
      <c r="K43" s="3" t="s">
        <v>19</v>
      </c>
    </row>
    <row r="44" spans="1:11" ht="14.5">
      <c r="A44" s="16" t="s">
        <v>142</v>
      </c>
      <c r="B44" s="4" t="s">
        <v>12</v>
      </c>
      <c r="C44" s="3" t="s">
        <v>42</v>
      </c>
      <c r="D44" s="3" t="s">
        <v>36</v>
      </c>
      <c r="E44" s="4" t="s">
        <v>43</v>
      </c>
      <c r="F44" s="3" t="s">
        <v>71</v>
      </c>
      <c r="G44" s="3">
        <v>7</v>
      </c>
      <c r="H44" s="3">
        <v>258.89</v>
      </c>
      <c r="I44" s="3" t="s">
        <v>143</v>
      </c>
      <c r="K44" s="3" t="s">
        <v>40</v>
      </c>
    </row>
    <row r="45" spans="1:11" ht="14.5">
      <c r="A45" s="16" t="s">
        <v>144</v>
      </c>
      <c r="B45" s="3" t="s">
        <v>21</v>
      </c>
      <c r="C45" s="3" t="s">
        <v>22</v>
      </c>
      <c r="D45" s="3" t="s">
        <v>47</v>
      </c>
      <c r="E45" s="3" t="s">
        <v>70</v>
      </c>
      <c r="F45" s="3" t="s">
        <v>106</v>
      </c>
      <c r="G45" s="3">
        <v>12</v>
      </c>
      <c r="H45" s="3">
        <v>462.99</v>
      </c>
      <c r="I45" s="3" t="s">
        <v>145</v>
      </c>
      <c r="K45" s="3" t="s">
        <v>19</v>
      </c>
    </row>
    <row r="46" spans="1:11" ht="14.5">
      <c r="A46" s="16" t="s">
        <v>100</v>
      </c>
      <c r="B46" s="3" t="s">
        <v>146</v>
      </c>
      <c r="C46" s="3" t="s">
        <v>77</v>
      </c>
      <c r="D46" s="3" t="s">
        <v>47</v>
      </c>
      <c r="E46" s="4" t="s">
        <v>37</v>
      </c>
      <c r="F46" s="3" t="s">
        <v>117</v>
      </c>
      <c r="G46" s="3">
        <v>5</v>
      </c>
      <c r="H46" s="3">
        <v>77.58</v>
      </c>
      <c r="I46" s="3" t="s">
        <v>147</v>
      </c>
      <c r="J46" s="3" t="s">
        <v>65</v>
      </c>
      <c r="K46" s="3" t="s">
        <v>52</v>
      </c>
    </row>
    <row r="47" spans="1:11" ht="14.5">
      <c r="A47" s="16" t="s">
        <v>148</v>
      </c>
      <c r="B47" s="3" t="s">
        <v>54</v>
      </c>
      <c r="C47" s="3" t="s">
        <v>59</v>
      </c>
      <c r="D47" s="3" t="s">
        <v>50</v>
      </c>
      <c r="E47" s="4" t="s">
        <v>37</v>
      </c>
      <c r="F47" s="3" t="s">
        <v>88</v>
      </c>
      <c r="G47" s="3">
        <v>1</v>
      </c>
      <c r="H47" s="3">
        <v>243.17</v>
      </c>
      <c r="I47" s="3" t="s">
        <v>149</v>
      </c>
      <c r="J47" s="3" t="s">
        <v>57</v>
      </c>
    </row>
    <row r="48" spans="1:11" ht="14.5">
      <c r="A48" s="16" t="s">
        <v>150</v>
      </c>
      <c r="B48" s="4" t="s">
        <v>12</v>
      </c>
      <c r="C48" s="3" t="s">
        <v>42</v>
      </c>
      <c r="D48" s="3" t="s">
        <v>14</v>
      </c>
      <c r="E48" s="4" t="s">
        <v>43</v>
      </c>
      <c r="F48" s="3" t="s">
        <v>127</v>
      </c>
      <c r="G48" s="3">
        <v>13</v>
      </c>
      <c r="H48" s="3">
        <v>322.23</v>
      </c>
      <c r="I48" s="3" t="s">
        <v>151</v>
      </c>
      <c r="J48" s="3" t="s">
        <v>75</v>
      </c>
      <c r="K48" s="3" t="s">
        <v>33</v>
      </c>
    </row>
    <row r="49" spans="1:11" ht="14.5">
      <c r="A49" s="16" t="s">
        <v>152</v>
      </c>
      <c r="B49" s="4" t="s">
        <v>12</v>
      </c>
      <c r="C49" s="3" t="s">
        <v>59</v>
      </c>
      <c r="D49" s="3" t="s">
        <v>29</v>
      </c>
      <c r="E49" s="4" t="s">
        <v>43</v>
      </c>
      <c r="F49" s="3" t="s">
        <v>63</v>
      </c>
      <c r="G49" s="3">
        <v>17</v>
      </c>
      <c r="H49" s="3">
        <v>258.97000000000003</v>
      </c>
      <c r="I49" s="3" t="s">
        <v>153</v>
      </c>
      <c r="J49" s="3" t="s">
        <v>18</v>
      </c>
      <c r="K49" s="3" t="s">
        <v>33</v>
      </c>
    </row>
    <row r="50" spans="1:11" ht="14.5">
      <c r="A50" s="16" t="s">
        <v>154</v>
      </c>
      <c r="B50" s="3" t="s">
        <v>21</v>
      </c>
      <c r="C50" s="3" t="s">
        <v>62</v>
      </c>
      <c r="D50" s="3" t="s">
        <v>36</v>
      </c>
      <c r="E50" s="4" t="s">
        <v>15</v>
      </c>
      <c r="F50" s="3" t="s">
        <v>30</v>
      </c>
      <c r="G50" s="3">
        <v>1</v>
      </c>
      <c r="H50" s="3">
        <v>175.84</v>
      </c>
      <c r="I50" s="3" t="s">
        <v>155</v>
      </c>
      <c r="J50" s="3" t="s">
        <v>32</v>
      </c>
      <c r="K50" s="3" t="s">
        <v>19</v>
      </c>
    </row>
    <row r="51" spans="1:11" ht="14.5">
      <c r="A51" s="16" t="s">
        <v>100</v>
      </c>
      <c r="B51" s="3" t="s">
        <v>21</v>
      </c>
      <c r="C51" s="3" t="s">
        <v>28</v>
      </c>
      <c r="D51" s="3" t="s">
        <v>29</v>
      </c>
      <c r="E51" s="4" t="s">
        <v>37</v>
      </c>
      <c r="F51" s="3" t="s">
        <v>101</v>
      </c>
      <c r="G51" s="3">
        <v>14</v>
      </c>
      <c r="H51" s="3">
        <v>388.51</v>
      </c>
      <c r="I51" s="3" t="s">
        <v>102</v>
      </c>
      <c r="J51" s="3" t="s">
        <v>75</v>
      </c>
      <c r="K51" s="3" t="s">
        <v>40</v>
      </c>
    </row>
    <row r="52" spans="1:11" ht="14.5">
      <c r="A52" s="16" t="s">
        <v>156</v>
      </c>
      <c r="B52" s="3" t="s">
        <v>46</v>
      </c>
      <c r="C52" s="3" t="s">
        <v>22</v>
      </c>
      <c r="D52" s="3" t="s">
        <v>14</v>
      </c>
      <c r="E52" s="4" t="s">
        <v>37</v>
      </c>
      <c r="F52" s="3" t="s">
        <v>16</v>
      </c>
      <c r="G52" s="3">
        <v>4</v>
      </c>
      <c r="H52" s="3">
        <v>205.67</v>
      </c>
      <c r="I52" s="3" t="s">
        <v>157</v>
      </c>
      <c r="J52" s="3" t="s">
        <v>32</v>
      </c>
      <c r="K52" s="3" t="s">
        <v>83</v>
      </c>
    </row>
    <row r="53" spans="1:11" ht="14.5">
      <c r="A53" s="16" t="s">
        <v>73</v>
      </c>
      <c r="B53" s="4" t="s">
        <v>12</v>
      </c>
      <c r="C53" s="3" t="s">
        <v>13</v>
      </c>
      <c r="D53" s="3" t="s">
        <v>23</v>
      </c>
      <c r="F53" s="3" t="s">
        <v>127</v>
      </c>
      <c r="G53" s="3">
        <v>8</v>
      </c>
      <c r="H53" s="3">
        <v>292.32</v>
      </c>
      <c r="I53" s="3" t="s">
        <v>158</v>
      </c>
      <c r="J53" s="3" t="s">
        <v>57</v>
      </c>
      <c r="K53" s="3" t="s">
        <v>19</v>
      </c>
    </row>
    <row r="54" spans="1:11" ht="14.5">
      <c r="A54" s="16" t="s">
        <v>159</v>
      </c>
      <c r="B54" s="3" t="s">
        <v>54</v>
      </c>
      <c r="C54" s="3" t="s">
        <v>59</v>
      </c>
      <c r="D54" s="3" t="s">
        <v>29</v>
      </c>
      <c r="E54" s="4" t="s">
        <v>37</v>
      </c>
      <c r="F54" s="3" t="s">
        <v>67</v>
      </c>
      <c r="G54" s="3">
        <v>11</v>
      </c>
      <c r="H54" s="3">
        <v>133.29</v>
      </c>
      <c r="I54" s="3" t="s">
        <v>160</v>
      </c>
      <c r="J54" s="3" t="s">
        <v>75</v>
      </c>
      <c r="K54" s="3" t="s">
        <v>19</v>
      </c>
    </row>
    <row r="55" spans="1:11" ht="14.5">
      <c r="A55" s="16" t="s">
        <v>161</v>
      </c>
      <c r="B55" s="3" t="s">
        <v>46</v>
      </c>
      <c r="C55" s="3" t="s">
        <v>22</v>
      </c>
      <c r="D55" s="3" t="s">
        <v>36</v>
      </c>
      <c r="E55" s="4" t="s">
        <v>43</v>
      </c>
      <c r="F55" s="3" t="s">
        <v>67</v>
      </c>
      <c r="G55" s="3">
        <v>17</v>
      </c>
      <c r="H55" s="3">
        <v>26.71</v>
      </c>
      <c r="I55" s="3" t="s">
        <v>162</v>
      </c>
      <c r="K55" s="3" t="s">
        <v>40</v>
      </c>
    </row>
    <row r="56" spans="1:11" ht="14.5">
      <c r="A56" s="16" t="s">
        <v>163</v>
      </c>
      <c r="B56" s="4" t="s">
        <v>12</v>
      </c>
      <c r="C56" s="3" t="s">
        <v>42</v>
      </c>
      <c r="D56" s="3" t="s">
        <v>47</v>
      </c>
      <c r="F56" s="3" t="s">
        <v>88</v>
      </c>
      <c r="G56" s="3">
        <v>19</v>
      </c>
      <c r="H56" s="3">
        <v>414.2</v>
      </c>
      <c r="I56" s="3" t="s">
        <v>164</v>
      </c>
      <c r="J56" s="3" t="s">
        <v>75</v>
      </c>
      <c r="K56" s="3" t="s">
        <v>83</v>
      </c>
    </row>
    <row r="57" spans="1:11" ht="14.5">
      <c r="A57" s="16" t="s">
        <v>165</v>
      </c>
      <c r="B57" s="3" t="s">
        <v>21</v>
      </c>
      <c r="C57" s="3" t="s">
        <v>22</v>
      </c>
      <c r="D57" s="3" t="s">
        <v>29</v>
      </c>
      <c r="F57" s="3" t="s">
        <v>117</v>
      </c>
      <c r="G57" s="3">
        <v>8</v>
      </c>
      <c r="H57" s="3">
        <v>479.25</v>
      </c>
      <c r="I57" s="3" t="s">
        <v>102</v>
      </c>
      <c r="K57" s="3" t="s">
        <v>52</v>
      </c>
    </row>
    <row r="58" spans="1:11" ht="14.5">
      <c r="A58" s="16" t="s">
        <v>166</v>
      </c>
      <c r="B58" s="3" t="s">
        <v>54</v>
      </c>
      <c r="C58" s="3" t="s">
        <v>77</v>
      </c>
      <c r="D58" s="3" t="s">
        <v>29</v>
      </c>
      <c r="E58" s="4" t="s">
        <v>37</v>
      </c>
      <c r="F58" s="3" t="s">
        <v>127</v>
      </c>
      <c r="G58" s="3">
        <v>9</v>
      </c>
      <c r="H58" s="3">
        <v>331.69</v>
      </c>
      <c r="I58" s="3" t="s">
        <v>167</v>
      </c>
      <c r="J58" s="3" t="s">
        <v>65</v>
      </c>
      <c r="K58" s="3" t="s">
        <v>19</v>
      </c>
    </row>
    <row r="59" spans="1:11" ht="14.5">
      <c r="A59" s="16" t="s">
        <v>168</v>
      </c>
      <c r="B59" s="3" t="s">
        <v>46</v>
      </c>
      <c r="C59" s="3" t="s">
        <v>59</v>
      </c>
      <c r="D59" s="3" t="s">
        <v>50</v>
      </c>
      <c r="E59" s="4" t="s">
        <v>15</v>
      </c>
      <c r="F59" s="3" t="s">
        <v>169</v>
      </c>
      <c r="G59" s="3">
        <v>2</v>
      </c>
      <c r="H59" s="3">
        <v>497.48</v>
      </c>
      <c r="I59" s="3" t="s">
        <v>170</v>
      </c>
      <c r="K59" s="3" t="s">
        <v>40</v>
      </c>
    </row>
    <row r="60" spans="1:11" ht="14.5">
      <c r="A60" s="16" t="s">
        <v>171</v>
      </c>
      <c r="B60" s="3" t="s">
        <v>35</v>
      </c>
      <c r="C60" s="3" t="s">
        <v>62</v>
      </c>
      <c r="D60" s="3" t="s">
        <v>50</v>
      </c>
      <c r="E60" s="4" t="s">
        <v>43</v>
      </c>
      <c r="F60" s="3" t="s">
        <v>30</v>
      </c>
      <c r="G60" s="3">
        <v>15</v>
      </c>
      <c r="H60" s="3">
        <v>360.16</v>
      </c>
      <c r="I60" s="3" t="s">
        <v>172</v>
      </c>
      <c r="J60" s="3" t="s">
        <v>75</v>
      </c>
      <c r="K60" s="3" t="s">
        <v>40</v>
      </c>
    </row>
    <row r="61" spans="1:11" ht="14.5">
      <c r="A61" s="16" t="s">
        <v>124</v>
      </c>
      <c r="B61" s="3" t="s">
        <v>21</v>
      </c>
      <c r="C61" s="3" t="s">
        <v>87</v>
      </c>
      <c r="D61" s="3" t="s">
        <v>47</v>
      </c>
      <c r="E61" s="4" t="s">
        <v>15</v>
      </c>
      <c r="F61" s="3" t="s">
        <v>55</v>
      </c>
      <c r="G61" s="3">
        <v>5</v>
      </c>
      <c r="H61" s="3">
        <v>112.67</v>
      </c>
      <c r="I61" s="3" t="s">
        <v>173</v>
      </c>
      <c r="J61" s="3" t="s">
        <v>18</v>
      </c>
    </row>
    <row r="62" spans="1:11" ht="14.5">
      <c r="A62" s="16" t="s">
        <v>174</v>
      </c>
      <c r="B62" s="3" t="s">
        <v>21</v>
      </c>
      <c r="C62" s="3" t="s">
        <v>77</v>
      </c>
      <c r="D62" s="3" t="s">
        <v>23</v>
      </c>
      <c r="E62" s="4" t="s">
        <v>43</v>
      </c>
      <c r="F62" s="3" t="s">
        <v>55</v>
      </c>
      <c r="G62" s="3">
        <v>2</v>
      </c>
      <c r="H62" s="3">
        <v>328.65</v>
      </c>
      <c r="I62" s="3" t="s">
        <v>175</v>
      </c>
      <c r="J62" s="3" t="s">
        <v>65</v>
      </c>
    </row>
    <row r="63" spans="1:11" ht="14.5">
      <c r="A63" s="16" t="s">
        <v>122</v>
      </c>
      <c r="B63" s="3" t="s">
        <v>21</v>
      </c>
      <c r="C63" s="3" t="s">
        <v>59</v>
      </c>
      <c r="D63" s="3" t="s">
        <v>14</v>
      </c>
      <c r="E63" s="4" t="s">
        <v>43</v>
      </c>
      <c r="F63" s="3" t="s">
        <v>30</v>
      </c>
      <c r="G63" s="3">
        <v>14</v>
      </c>
      <c r="H63" s="3">
        <v>464.52</v>
      </c>
      <c r="I63" s="3" t="s">
        <v>51</v>
      </c>
      <c r="K63" s="3" t="s">
        <v>52</v>
      </c>
    </row>
    <row r="64" spans="1:11" ht="14.5">
      <c r="A64" s="16" t="s">
        <v>176</v>
      </c>
      <c r="B64" s="4" t="s">
        <v>12</v>
      </c>
      <c r="C64" s="3" t="s">
        <v>77</v>
      </c>
      <c r="D64" s="3" t="s">
        <v>14</v>
      </c>
      <c r="E64" s="3" t="s">
        <v>70</v>
      </c>
      <c r="F64" s="3" t="s">
        <v>101</v>
      </c>
      <c r="G64" s="3">
        <v>16</v>
      </c>
      <c r="H64" s="3">
        <v>494.4</v>
      </c>
      <c r="I64" s="3" t="s">
        <v>177</v>
      </c>
      <c r="J64" s="3" t="s">
        <v>32</v>
      </c>
      <c r="K64" s="3" t="s">
        <v>52</v>
      </c>
    </row>
    <row r="65" spans="1:11" ht="14.5">
      <c r="A65" s="16" t="s">
        <v>178</v>
      </c>
      <c r="C65" s="3" t="s">
        <v>62</v>
      </c>
      <c r="D65" s="3" t="s">
        <v>29</v>
      </c>
      <c r="F65" s="3" t="s">
        <v>67</v>
      </c>
      <c r="G65" s="3">
        <v>2</v>
      </c>
      <c r="H65" s="3">
        <v>396.02</v>
      </c>
      <c r="I65" s="3" t="s">
        <v>179</v>
      </c>
      <c r="J65" s="3" t="s">
        <v>93</v>
      </c>
      <c r="K65" s="3" t="s">
        <v>33</v>
      </c>
    </row>
    <row r="66" spans="1:11" ht="14.5">
      <c r="A66" s="16" t="s">
        <v>180</v>
      </c>
      <c r="C66" s="3" t="s">
        <v>13</v>
      </c>
      <c r="D66" s="3" t="s">
        <v>47</v>
      </c>
      <c r="E66" s="4" t="s">
        <v>37</v>
      </c>
      <c r="F66" s="3" t="s">
        <v>101</v>
      </c>
      <c r="G66" s="3">
        <v>19</v>
      </c>
      <c r="H66" s="3">
        <v>207.07</v>
      </c>
      <c r="I66" s="3" t="s">
        <v>181</v>
      </c>
      <c r="J66" s="3" t="s">
        <v>57</v>
      </c>
      <c r="K66" s="3" t="s">
        <v>19</v>
      </c>
    </row>
    <row r="67" spans="1:11" ht="14.5">
      <c r="A67" s="16" t="s">
        <v>182</v>
      </c>
      <c r="B67" s="3" t="s">
        <v>146</v>
      </c>
      <c r="C67" s="3" t="s">
        <v>87</v>
      </c>
      <c r="D67" s="3" t="s">
        <v>29</v>
      </c>
      <c r="E67" s="4" t="s">
        <v>15</v>
      </c>
      <c r="F67" s="3" t="s">
        <v>183</v>
      </c>
      <c r="G67" s="3">
        <v>10</v>
      </c>
      <c r="H67" s="3">
        <v>133.44999999999999</v>
      </c>
      <c r="I67" s="3" t="s">
        <v>184</v>
      </c>
      <c r="K67" s="3" t="s">
        <v>52</v>
      </c>
    </row>
    <row r="68" spans="1:11" ht="14.5">
      <c r="A68" s="16" t="s">
        <v>185</v>
      </c>
      <c r="B68" s="3" t="s">
        <v>35</v>
      </c>
      <c r="C68" s="3" t="s">
        <v>62</v>
      </c>
      <c r="D68" s="3" t="s">
        <v>47</v>
      </c>
      <c r="E68" s="3" t="s">
        <v>70</v>
      </c>
      <c r="F68" s="3" t="s">
        <v>25</v>
      </c>
      <c r="G68" s="3">
        <v>1</v>
      </c>
      <c r="H68" s="3">
        <v>83.97</v>
      </c>
      <c r="I68" s="3" t="s">
        <v>186</v>
      </c>
      <c r="J68" s="3" t="s">
        <v>93</v>
      </c>
      <c r="K68" s="3" t="s">
        <v>40</v>
      </c>
    </row>
    <row r="69" spans="1:11" ht="14.5">
      <c r="A69" s="16" t="s">
        <v>187</v>
      </c>
      <c r="B69" s="4" t="s">
        <v>12</v>
      </c>
      <c r="C69" s="3" t="s">
        <v>62</v>
      </c>
      <c r="D69" s="3" t="s">
        <v>36</v>
      </c>
      <c r="E69" s="4" t="s">
        <v>15</v>
      </c>
      <c r="F69" s="3" t="s">
        <v>117</v>
      </c>
      <c r="G69" s="3">
        <v>11</v>
      </c>
      <c r="H69" s="3">
        <v>251.34</v>
      </c>
      <c r="I69" s="3" t="s">
        <v>173</v>
      </c>
      <c r="K69" s="3" t="s">
        <v>52</v>
      </c>
    </row>
    <row r="70" spans="1:11" ht="14.5">
      <c r="A70" s="16" t="s">
        <v>41</v>
      </c>
      <c r="B70" s="3" t="s">
        <v>146</v>
      </c>
      <c r="C70" s="3" t="s">
        <v>13</v>
      </c>
      <c r="D70" s="3" t="s">
        <v>47</v>
      </c>
      <c r="E70" s="4" t="s">
        <v>15</v>
      </c>
      <c r="F70" s="3" t="s">
        <v>88</v>
      </c>
      <c r="G70" s="3">
        <v>8</v>
      </c>
      <c r="H70" s="3">
        <v>97.51</v>
      </c>
      <c r="I70" s="3" t="s">
        <v>51</v>
      </c>
      <c r="J70" s="3" t="s">
        <v>32</v>
      </c>
    </row>
    <row r="71" spans="1:11" ht="14.5">
      <c r="A71" s="16" t="s">
        <v>188</v>
      </c>
      <c r="B71" s="3" t="s">
        <v>54</v>
      </c>
      <c r="C71" s="3" t="s">
        <v>22</v>
      </c>
      <c r="D71" s="3" t="s">
        <v>23</v>
      </c>
      <c r="F71" s="4" t="s">
        <v>91</v>
      </c>
      <c r="G71" s="3">
        <v>13</v>
      </c>
      <c r="H71" s="3">
        <v>378.01</v>
      </c>
      <c r="I71" s="3" t="s">
        <v>189</v>
      </c>
      <c r="K71" s="3" t="s">
        <v>80</v>
      </c>
    </row>
    <row r="72" spans="1:11" ht="14.5">
      <c r="A72" s="16" t="s">
        <v>190</v>
      </c>
      <c r="C72" s="3" t="s">
        <v>28</v>
      </c>
      <c r="D72" s="3" t="s">
        <v>29</v>
      </c>
      <c r="E72" s="4" t="s">
        <v>43</v>
      </c>
      <c r="F72" s="3" t="s">
        <v>25</v>
      </c>
      <c r="G72" s="3">
        <v>5</v>
      </c>
      <c r="H72" s="3">
        <v>39.68</v>
      </c>
      <c r="I72" s="3" t="s">
        <v>158</v>
      </c>
      <c r="J72" s="3" t="s">
        <v>93</v>
      </c>
      <c r="K72" s="3" t="s">
        <v>33</v>
      </c>
    </row>
    <row r="73" spans="1:11" ht="14.5">
      <c r="A73" s="16" t="s">
        <v>191</v>
      </c>
      <c r="B73" s="3" t="s">
        <v>21</v>
      </c>
      <c r="C73" s="3" t="s">
        <v>22</v>
      </c>
      <c r="D73" s="3" t="s">
        <v>36</v>
      </c>
      <c r="E73" s="4" t="s">
        <v>37</v>
      </c>
      <c r="F73" s="3" t="s">
        <v>63</v>
      </c>
      <c r="G73" s="3">
        <v>4</v>
      </c>
      <c r="H73" s="3">
        <v>93.79</v>
      </c>
      <c r="I73" s="3" t="s">
        <v>192</v>
      </c>
      <c r="J73" s="3" t="s">
        <v>18</v>
      </c>
      <c r="K73" s="3" t="s">
        <v>33</v>
      </c>
    </row>
    <row r="74" spans="1:11" ht="14.5">
      <c r="A74" s="16" t="s">
        <v>193</v>
      </c>
      <c r="B74" s="3" t="s">
        <v>35</v>
      </c>
      <c r="C74" s="3" t="s">
        <v>13</v>
      </c>
      <c r="D74" s="3" t="s">
        <v>29</v>
      </c>
      <c r="F74" s="3" t="s">
        <v>38</v>
      </c>
      <c r="G74" s="3">
        <v>4</v>
      </c>
      <c r="H74" s="3">
        <v>313.02</v>
      </c>
      <c r="I74" s="3" t="s">
        <v>143</v>
      </c>
      <c r="J74" s="3" t="s">
        <v>18</v>
      </c>
      <c r="K74" s="3" t="s">
        <v>52</v>
      </c>
    </row>
    <row r="75" spans="1:11" ht="14.5">
      <c r="A75" s="16" t="s">
        <v>194</v>
      </c>
      <c r="B75" s="3" t="s">
        <v>46</v>
      </c>
      <c r="C75" s="3" t="s">
        <v>28</v>
      </c>
      <c r="D75" s="3" t="s">
        <v>29</v>
      </c>
      <c r="E75" s="3" t="s">
        <v>24</v>
      </c>
      <c r="F75" s="3" t="s">
        <v>127</v>
      </c>
      <c r="G75" s="3">
        <v>14</v>
      </c>
      <c r="H75" s="3">
        <v>321.86</v>
      </c>
      <c r="I75" s="3" t="s">
        <v>153</v>
      </c>
      <c r="J75" s="3" t="s">
        <v>18</v>
      </c>
      <c r="K75" s="3" t="s">
        <v>83</v>
      </c>
    </row>
    <row r="76" spans="1:11" ht="14.5">
      <c r="A76" s="16" t="s">
        <v>195</v>
      </c>
      <c r="B76" s="3" t="s">
        <v>35</v>
      </c>
      <c r="C76" s="3" t="s">
        <v>87</v>
      </c>
      <c r="D76" s="3" t="s">
        <v>47</v>
      </c>
      <c r="E76" s="4" t="s">
        <v>43</v>
      </c>
      <c r="F76" s="3" t="s">
        <v>38</v>
      </c>
      <c r="G76" s="3">
        <v>13</v>
      </c>
      <c r="H76" s="3">
        <v>461.41</v>
      </c>
      <c r="I76" s="3" t="s">
        <v>64</v>
      </c>
      <c r="J76" s="3" t="s">
        <v>65</v>
      </c>
      <c r="K76" s="3" t="s">
        <v>33</v>
      </c>
    </row>
    <row r="77" spans="1:11" ht="14.5">
      <c r="A77" s="16" t="s">
        <v>196</v>
      </c>
      <c r="B77" s="3" t="s">
        <v>21</v>
      </c>
      <c r="C77" s="3" t="s">
        <v>28</v>
      </c>
      <c r="D77" s="3" t="s">
        <v>23</v>
      </c>
      <c r="E77" s="4" t="s">
        <v>43</v>
      </c>
      <c r="F77" s="3" t="s">
        <v>112</v>
      </c>
      <c r="G77" s="3">
        <v>20</v>
      </c>
      <c r="H77" s="3">
        <v>463.68</v>
      </c>
      <c r="I77" s="3" t="s">
        <v>197</v>
      </c>
      <c r="J77" s="3" t="s">
        <v>18</v>
      </c>
      <c r="K77" s="3" t="s">
        <v>80</v>
      </c>
    </row>
    <row r="78" spans="1:11" ht="14.5">
      <c r="A78" s="16" t="s">
        <v>198</v>
      </c>
      <c r="B78" s="4" t="s">
        <v>12</v>
      </c>
      <c r="C78" s="3" t="s">
        <v>87</v>
      </c>
      <c r="D78" s="3" t="s">
        <v>14</v>
      </c>
      <c r="E78" s="4" t="s">
        <v>43</v>
      </c>
      <c r="F78" s="3" t="s">
        <v>38</v>
      </c>
      <c r="G78" s="3">
        <v>4</v>
      </c>
      <c r="H78" s="3">
        <v>58.33</v>
      </c>
      <c r="I78" s="3" t="s">
        <v>199</v>
      </c>
      <c r="J78" s="3" t="s">
        <v>75</v>
      </c>
      <c r="K78" s="3" t="s">
        <v>40</v>
      </c>
    </row>
    <row r="79" spans="1:11" ht="14.5">
      <c r="A79" s="16" t="s">
        <v>200</v>
      </c>
      <c r="B79" s="3" t="s">
        <v>35</v>
      </c>
      <c r="C79" s="3" t="s">
        <v>42</v>
      </c>
      <c r="D79" s="3" t="s">
        <v>50</v>
      </c>
      <c r="E79" s="3" t="s">
        <v>24</v>
      </c>
      <c r="F79" s="3" t="s">
        <v>67</v>
      </c>
      <c r="G79" s="3">
        <v>18</v>
      </c>
      <c r="H79" s="3">
        <v>392.56</v>
      </c>
      <c r="I79" s="3" t="s">
        <v>155</v>
      </c>
      <c r="J79" s="3" t="s">
        <v>65</v>
      </c>
      <c r="K79" s="3" t="s">
        <v>19</v>
      </c>
    </row>
    <row r="80" spans="1:11" ht="14.5">
      <c r="A80" s="16" t="s">
        <v>201</v>
      </c>
      <c r="B80" s="4" t="s">
        <v>12</v>
      </c>
      <c r="C80" s="3" t="s">
        <v>59</v>
      </c>
      <c r="D80" s="3" t="s">
        <v>36</v>
      </c>
      <c r="E80" s="4" t="s">
        <v>43</v>
      </c>
      <c r="F80" s="3" t="s">
        <v>169</v>
      </c>
      <c r="G80" s="3">
        <v>13</v>
      </c>
      <c r="H80" s="3">
        <v>204.94</v>
      </c>
      <c r="I80" s="3" t="s">
        <v>202</v>
      </c>
      <c r="J80" s="3" t="s">
        <v>32</v>
      </c>
      <c r="K80" s="3" t="s">
        <v>83</v>
      </c>
    </row>
    <row r="81" spans="1:11" ht="14.5">
      <c r="A81" s="16" t="s">
        <v>203</v>
      </c>
      <c r="B81" s="3" t="s">
        <v>21</v>
      </c>
      <c r="C81" s="3" t="s">
        <v>62</v>
      </c>
      <c r="D81" s="3" t="s">
        <v>50</v>
      </c>
      <c r="E81" s="4" t="s">
        <v>43</v>
      </c>
      <c r="F81" s="3" t="s">
        <v>101</v>
      </c>
      <c r="G81" s="3">
        <v>11</v>
      </c>
      <c r="H81" s="3">
        <v>104.1</v>
      </c>
      <c r="I81" s="3" t="s">
        <v>99</v>
      </c>
      <c r="J81" s="3" t="s">
        <v>18</v>
      </c>
      <c r="K81" s="3" t="s">
        <v>19</v>
      </c>
    </row>
    <row r="82" spans="1:11" ht="14.5">
      <c r="A82" s="16" t="s">
        <v>204</v>
      </c>
      <c r="B82" s="3" t="s">
        <v>146</v>
      </c>
      <c r="C82" s="3" t="s">
        <v>13</v>
      </c>
      <c r="D82" s="3" t="s">
        <v>47</v>
      </c>
      <c r="E82" s="4" t="s">
        <v>37</v>
      </c>
      <c r="F82" s="3" t="s">
        <v>183</v>
      </c>
      <c r="G82" s="3">
        <v>8</v>
      </c>
      <c r="H82" s="3">
        <v>254.79</v>
      </c>
      <c r="I82" s="3" t="s">
        <v>205</v>
      </c>
      <c r="J82" s="3" t="s">
        <v>18</v>
      </c>
      <c r="K82" s="3" t="s">
        <v>40</v>
      </c>
    </row>
    <row r="83" spans="1:11" ht="14.5">
      <c r="A83" s="16" t="s">
        <v>206</v>
      </c>
      <c r="B83" s="3" t="s">
        <v>46</v>
      </c>
      <c r="C83" s="3" t="s">
        <v>62</v>
      </c>
      <c r="D83" s="3" t="s">
        <v>36</v>
      </c>
      <c r="E83" s="4" t="s">
        <v>43</v>
      </c>
      <c r="F83" s="3" t="s">
        <v>38</v>
      </c>
      <c r="G83" s="3">
        <v>3</v>
      </c>
      <c r="H83" s="3">
        <v>36.92</v>
      </c>
      <c r="I83" s="3" t="s">
        <v>207</v>
      </c>
      <c r="K83" s="3" t="s">
        <v>52</v>
      </c>
    </row>
    <row r="84" spans="1:11" ht="14.5">
      <c r="A84" s="16" t="s">
        <v>208</v>
      </c>
      <c r="B84" s="3" t="s">
        <v>54</v>
      </c>
      <c r="C84" s="3" t="s">
        <v>22</v>
      </c>
      <c r="D84" s="3" t="s">
        <v>47</v>
      </c>
      <c r="E84" s="3" t="s">
        <v>24</v>
      </c>
      <c r="F84" s="3" t="s">
        <v>101</v>
      </c>
      <c r="G84" s="3">
        <v>15</v>
      </c>
      <c r="H84" s="3">
        <v>467.78</v>
      </c>
      <c r="I84" s="3" t="s">
        <v>209</v>
      </c>
      <c r="J84" s="3" t="s">
        <v>32</v>
      </c>
      <c r="K84" s="3" t="s">
        <v>80</v>
      </c>
    </row>
    <row r="85" spans="1:11" ht="14.5">
      <c r="A85" s="16" t="s">
        <v>210</v>
      </c>
      <c r="B85" s="4" t="s">
        <v>12</v>
      </c>
      <c r="C85" s="3" t="s">
        <v>87</v>
      </c>
      <c r="D85" s="3" t="s">
        <v>50</v>
      </c>
      <c r="F85" s="3" t="s">
        <v>25</v>
      </c>
      <c r="G85" s="3">
        <v>4</v>
      </c>
      <c r="H85" s="3">
        <v>329.73</v>
      </c>
      <c r="I85" s="3" t="s">
        <v>211</v>
      </c>
      <c r="J85" s="3" t="s">
        <v>65</v>
      </c>
      <c r="K85" s="3" t="s">
        <v>19</v>
      </c>
    </row>
    <row r="86" spans="1:11" ht="14.5">
      <c r="A86" s="16" t="s">
        <v>212</v>
      </c>
      <c r="C86" s="3" t="s">
        <v>77</v>
      </c>
      <c r="D86" s="3" t="s">
        <v>29</v>
      </c>
      <c r="E86" s="4" t="s">
        <v>37</v>
      </c>
      <c r="F86" s="3" t="s">
        <v>213</v>
      </c>
      <c r="G86" s="3">
        <v>16</v>
      </c>
      <c r="H86" s="3">
        <v>244.98</v>
      </c>
      <c r="I86" s="3" t="s">
        <v>74</v>
      </c>
      <c r="K86" s="3" t="s">
        <v>52</v>
      </c>
    </row>
    <row r="87" spans="1:11" ht="14.5">
      <c r="A87" s="16" t="s">
        <v>214</v>
      </c>
      <c r="B87" s="3" t="s">
        <v>21</v>
      </c>
      <c r="C87" s="3" t="s">
        <v>77</v>
      </c>
      <c r="D87" s="3" t="s">
        <v>14</v>
      </c>
      <c r="E87" s="4" t="s">
        <v>43</v>
      </c>
      <c r="F87" s="3" t="s">
        <v>169</v>
      </c>
      <c r="G87" s="3">
        <v>6</v>
      </c>
      <c r="H87" s="3">
        <v>315.5</v>
      </c>
      <c r="I87" s="3" t="s">
        <v>215</v>
      </c>
      <c r="J87" s="3" t="s">
        <v>18</v>
      </c>
      <c r="K87" s="3" t="s">
        <v>80</v>
      </c>
    </row>
    <row r="88" spans="1:11" ht="14.5">
      <c r="A88" s="16" t="s">
        <v>216</v>
      </c>
      <c r="B88" s="3" t="s">
        <v>46</v>
      </c>
      <c r="C88" s="3" t="s">
        <v>13</v>
      </c>
      <c r="D88" s="3" t="s">
        <v>23</v>
      </c>
      <c r="E88" s="3" t="s">
        <v>24</v>
      </c>
      <c r="F88" s="3" t="s">
        <v>55</v>
      </c>
      <c r="G88" s="3">
        <v>15</v>
      </c>
      <c r="H88" s="3">
        <v>6.44</v>
      </c>
      <c r="I88" s="3" t="s">
        <v>155</v>
      </c>
      <c r="J88" s="3" t="s">
        <v>65</v>
      </c>
      <c r="K88" s="3" t="s">
        <v>40</v>
      </c>
    </row>
    <row r="89" spans="1:11" ht="14.5">
      <c r="A89" s="16" t="s">
        <v>198</v>
      </c>
      <c r="B89" s="3" t="s">
        <v>35</v>
      </c>
      <c r="C89" s="3" t="s">
        <v>22</v>
      </c>
      <c r="D89" s="3" t="s">
        <v>29</v>
      </c>
      <c r="F89" s="3" t="s">
        <v>71</v>
      </c>
      <c r="G89" s="3">
        <v>17</v>
      </c>
      <c r="H89" s="3">
        <v>252.93</v>
      </c>
      <c r="I89" s="3" t="s">
        <v>217</v>
      </c>
      <c r="J89" s="3" t="s">
        <v>18</v>
      </c>
      <c r="K89" s="3" t="s">
        <v>52</v>
      </c>
    </row>
    <row r="90" spans="1:11" ht="14.5">
      <c r="A90" s="16" t="s">
        <v>218</v>
      </c>
      <c r="B90" s="3" t="s">
        <v>35</v>
      </c>
      <c r="C90" s="3" t="s">
        <v>42</v>
      </c>
      <c r="D90" s="3" t="s">
        <v>29</v>
      </c>
      <c r="E90" s="4" t="s">
        <v>37</v>
      </c>
      <c r="F90" s="3" t="s">
        <v>25</v>
      </c>
      <c r="G90" s="3">
        <v>13</v>
      </c>
      <c r="H90" s="3">
        <v>148.58000000000001</v>
      </c>
      <c r="I90" s="3" t="s">
        <v>92</v>
      </c>
      <c r="J90" s="3" t="s">
        <v>93</v>
      </c>
      <c r="K90" s="3" t="s">
        <v>19</v>
      </c>
    </row>
    <row r="91" spans="1:11" ht="14.5">
      <c r="A91" s="16" t="s">
        <v>108</v>
      </c>
      <c r="B91" s="4" t="s">
        <v>12</v>
      </c>
      <c r="C91" s="3" t="s">
        <v>87</v>
      </c>
      <c r="D91" s="3" t="s">
        <v>36</v>
      </c>
      <c r="E91" s="3" t="s">
        <v>24</v>
      </c>
      <c r="F91" s="3" t="s">
        <v>16</v>
      </c>
      <c r="G91" s="3">
        <v>17</v>
      </c>
      <c r="H91" s="3">
        <v>20.99</v>
      </c>
      <c r="I91" s="3" t="s">
        <v>219</v>
      </c>
      <c r="J91" s="3" t="s">
        <v>32</v>
      </c>
    </row>
    <row r="92" spans="1:11" ht="14.5">
      <c r="A92" s="16" t="s">
        <v>120</v>
      </c>
      <c r="C92" s="3" t="s">
        <v>87</v>
      </c>
      <c r="D92" s="3" t="s">
        <v>36</v>
      </c>
      <c r="E92" s="4" t="s">
        <v>37</v>
      </c>
      <c r="F92" s="3" t="s">
        <v>67</v>
      </c>
      <c r="G92" s="3">
        <v>7</v>
      </c>
      <c r="H92" s="3">
        <v>73.14</v>
      </c>
      <c r="I92" s="3" t="s">
        <v>220</v>
      </c>
      <c r="K92" s="3" t="s">
        <v>19</v>
      </c>
    </row>
    <row r="93" spans="1:11" ht="14.5">
      <c r="A93" s="16" t="s">
        <v>221</v>
      </c>
      <c r="B93" s="3" t="s">
        <v>46</v>
      </c>
      <c r="C93" s="3" t="s">
        <v>62</v>
      </c>
      <c r="D93" s="3" t="s">
        <v>23</v>
      </c>
      <c r="E93" s="3" t="s">
        <v>24</v>
      </c>
      <c r="F93" s="3" t="s">
        <v>16</v>
      </c>
      <c r="G93" s="3">
        <v>18</v>
      </c>
      <c r="H93" s="3">
        <v>129.41</v>
      </c>
      <c r="I93" s="3" t="s">
        <v>222</v>
      </c>
      <c r="J93" s="3" t="s">
        <v>32</v>
      </c>
      <c r="K93" s="3" t="s">
        <v>33</v>
      </c>
    </row>
    <row r="94" spans="1:11" ht="14.5">
      <c r="A94" s="16" t="s">
        <v>223</v>
      </c>
      <c r="B94" s="4" t="s">
        <v>12</v>
      </c>
      <c r="C94" s="3" t="s">
        <v>77</v>
      </c>
      <c r="D94" s="3" t="s">
        <v>47</v>
      </c>
      <c r="E94" s="4" t="s">
        <v>37</v>
      </c>
      <c r="F94" s="3" t="s">
        <v>112</v>
      </c>
      <c r="G94" s="3">
        <v>1</v>
      </c>
      <c r="H94" s="3">
        <v>364.38</v>
      </c>
      <c r="I94" s="3" t="s">
        <v>224</v>
      </c>
      <c r="J94" s="3" t="s">
        <v>93</v>
      </c>
      <c r="K94" s="3" t="s">
        <v>19</v>
      </c>
    </row>
    <row r="95" spans="1:11" ht="14.5">
      <c r="A95" s="16" t="s">
        <v>225</v>
      </c>
      <c r="B95" s="4" t="s">
        <v>12</v>
      </c>
      <c r="C95" s="3" t="s">
        <v>22</v>
      </c>
      <c r="D95" s="3" t="s">
        <v>50</v>
      </c>
      <c r="E95" s="3" t="s">
        <v>24</v>
      </c>
      <c r="F95" s="3" t="s">
        <v>101</v>
      </c>
      <c r="G95" s="3">
        <v>16</v>
      </c>
      <c r="H95" s="3">
        <v>402.72</v>
      </c>
      <c r="I95" s="3" t="s">
        <v>226</v>
      </c>
      <c r="J95" s="3" t="s">
        <v>18</v>
      </c>
      <c r="K95" s="3" t="s">
        <v>52</v>
      </c>
    </row>
    <row r="96" spans="1:11" ht="14.5">
      <c r="A96" s="16" t="s">
        <v>227</v>
      </c>
      <c r="B96" s="4" t="s">
        <v>12</v>
      </c>
      <c r="C96" s="3" t="s">
        <v>77</v>
      </c>
      <c r="D96" s="3" t="s">
        <v>50</v>
      </c>
      <c r="E96" s="3" t="s">
        <v>70</v>
      </c>
      <c r="F96" s="3" t="s">
        <v>67</v>
      </c>
      <c r="G96" s="3">
        <v>13</v>
      </c>
      <c r="H96" s="3">
        <v>143.08000000000001</v>
      </c>
      <c r="I96" s="3" t="s">
        <v>228</v>
      </c>
      <c r="J96" s="3" t="s">
        <v>93</v>
      </c>
      <c r="K96" s="3" t="s">
        <v>19</v>
      </c>
    </row>
    <row r="97" spans="1:11" ht="14.5">
      <c r="A97" s="16" t="s">
        <v>229</v>
      </c>
      <c r="B97" s="3" t="s">
        <v>21</v>
      </c>
      <c r="C97" s="3" t="s">
        <v>87</v>
      </c>
      <c r="D97" s="3" t="s">
        <v>50</v>
      </c>
      <c r="E97" s="4" t="s">
        <v>15</v>
      </c>
      <c r="F97" s="3" t="s">
        <v>30</v>
      </c>
      <c r="G97" s="3">
        <v>17</v>
      </c>
      <c r="H97" s="3">
        <v>273.94</v>
      </c>
      <c r="I97" s="3" t="s">
        <v>230</v>
      </c>
      <c r="J97" s="3" t="s">
        <v>18</v>
      </c>
      <c r="K97" s="3" t="s">
        <v>83</v>
      </c>
    </row>
    <row r="98" spans="1:11" ht="14.5">
      <c r="A98" s="16" t="s">
        <v>231</v>
      </c>
      <c r="B98" s="4" t="s">
        <v>12</v>
      </c>
      <c r="C98" s="3" t="s">
        <v>77</v>
      </c>
      <c r="D98" s="3" t="s">
        <v>50</v>
      </c>
      <c r="E98" s="3" t="s">
        <v>70</v>
      </c>
      <c r="F98" s="3" t="s">
        <v>101</v>
      </c>
      <c r="G98" s="3">
        <v>11</v>
      </c>
      <c r="H98" s="3">
        <v>263.51</v>
      </c>
      <c r="I98" s="3" t="s">
        <v>232</v>
      </c>
      <c r="J98" s="3" t="s">
        <v>65</v>
      </c>
      <c r="K98" s="3" t="s">
        <v>40</v>
      </c>
    </row>
    <row r="99" spans="1:11" ht="14.5">
      <c r="A99" s="16" t="s">
        <v>233</v>
      </c>
      <c r="B99" s="3" t="s">
        <v>46</v>
      </c>
      <c r="C99" s="3" t="s">
        <v>87</v>
      </c>
      <c r="D99" s="3" t="s">
        <v>47</v>
      </c>
      <c r="E99" s="4" t="s">
        <v>43</v>
      </c>
      <c r="F99" s="3" t="s">
        <v>16</v>
      </c>
      <c r="G99" s="3">
        <v>4</v>
      </c>
      <c r="H99" s="3">
        <v>467.36</v>
      </c>
      <c r="I99" s="3" t="s">
        <v>173</v>
      </c>
      <c r="J99" s="3" t="s">
        <v>18</v>
      </c>
      <c r="K99" s="3" t="s">
        <v>19</v>
      </c>
    </row>
    <row r="100" spans="1:11" ht="14.5">
      <c r="A100" s="16" t="s">
        <v>234</v>
      </c>
      <c r="B100" s="3" t="s">
        <v>146</v>
      </c>
      <c r="C100" s="3" t="s">
        <v>28</v>
      </c>
      <c r="D100" s="3" t="s">
        <v>36</v>
      </c>
      <c r="E100" s="4" t="s">
        <v>37</v>
      </c>
      <c r="F100" s="3" t="s">
        <v>106</v>
      </c>
      <c r="G100" s="3">
        <v>10</v>
      </c>
      <c r="H100" s="3">
        <v>346.25</v>
      </c>
      <c r="I100" s="3" t="s">
        <v>235</v>
      </c>
      <c r="J100" s="3" t="s">
        <v>65</v>
      </c>
      <c r="K100" s="3" t="s">
        <v>19</v>
      </c>
    </row>
    <row r="101" spans="1:11" ht="14.5">
      <c r="A101" s="16" t="s">
        <v>236</v>
      </c>
      <c r="B101" s="3" t="s">
        <v>21</v>
      </c>
      <c r="C101" s="3" t="s">
        <v>22</v>
      </c>
      <c r="D101" s="3" t="s">
        <v>23</v>
      </c>
      <c r="F101" s="3" t="s">
        <v>16</v>
      </c>
      <c r="G101" s="3">
        <v>16</v>
      </c>
      <c r="H101" s="3">
        <v>85.49</v>
      </c>
      <c r="I101" s="3" t="s">
        <v>237</v>
      </c>
      <c r="K101" s="3" t="s">
        <v>83</v>
      </c>
    </row>
    <row r="102" spans="1:11" ht="14.5">
      <c r="A102" s="16" t="s">
        <v>238</v>
      </c>
      <c r="B102" s="4" t="s">
        <v>12</v>
      </c>
      <c r="C102" s="3" t="s">
        <v>22</v>
      </c>
      <c r="D102" s="3" t="s">
        <v>36</v>
      </c>
      <c r="E102" s="3" t="s">
        <v>70</v>
      </c>
      <c r="F102" s="3" t="s">
        <v>67</v>
      </c>
      <c r="G102" s="3">
        <v>11</v>
      </c>
      <c r="H102" s="3">
        <v>142.41</v>
      </c>
      <c r="I102" s="3" t="s">
        <v>239</v>
      </c>
      <c r="J102" s="3" t="s">
        <v>57</v>
      </c>
      <c r="K102" s="3" t="s">
        <v>52</v>
      </c>
    </row>
    <row r="103" spans="1:11" ht="14.5">
      <c r="A103" s="16" t="s">
        <v>240</v>
      </c>
      <c r="B103" s="4" t="s">
        <v>12</v>
      </c>
      <c r="C103" s="3" t="s">
        <v>62</v>
      </c>
      <c r="D103" s="3" t="s">
        <v>23</v>
      </c>
      <c r="E103" s="4" t="s">
        <v>15</v>
      </c>
      <c r="F103" s="3" t="s">
        <v>88</v>
      </c>
      <c r="G103" s="3">
        <v>13</v>
      </c>
      <c r="H103" s="3">
        <v>359.29</v>
      </c>
      <c r="I103" s="3" t="s">
        <v>241</v>
      </c>
      <c r="J103" s="3" t="s">
        <v>57</v>
      </c>
      <c r="K103" s="3" t="s">
        <v>80</v>
      </c>
    </row>
    <row r="104" spans="1:11" ht="14.5">
      <c r="A104" s="16" t="s">
        <v>242</v>
      </c>
      <c r="B104" s="3" t="s">
        <v>46</v>
      </c>
      <c r="C104" s="3" t="s">
        <v>59</v>
      </c>
      <c r="D104" s="3" t="s">
        <v>29</v>
      </c>
      <c r="E104" s="3" t="s">
        <v>24</v>
      </c>
      <c r="F104" s="3" t="s">
        <v>55</v>
      </c>
      <c r="G104" s="3">
        <v>16</v>
      </c>
      <c r="H104" s="3">
        <v>34.79</v>
      </c>
      <c r="I104" s="3" t="s">
        <v>151</v>
      </c>
      <c r="J104" s="3" t="s">
        <v>93</v>
      </c>
      <c r="K104" s="3" t="s">
        <v>83</v>
      </c>
    </row>
    <row r="105" spans="1:11" ht="14.5">
      <c r="A105" s="16" t="s">
        <v>109</v>
      </c>
      <c r="C105" s="3" t="s">
        <v>62</v>
      </c>
      <c r="D105" s="3" t="s">
        <v>29</v>
      </c>
      <c r="E105" s="3" t="s">
        <v>24</v>
      </c>
      <c r="F105" s="3" t="s">
        <v>213</v>
      </c>
      <c r="G105" s="3">
        <v>7</v>
      </c>
      <c r="H105" s="3">
        <v>292.60000000000002</v>
      </c>
      <c r="I105" s="3" t="s">
        <v>243</v>
      </c>
      <c r="J105" s="3" t="s">
        <v>65</v>
      </c>
      <c r="K105" s="3" t="s">
        <v>83</v>
      </c>
    </row>
    <row r="106" spans="1:11" ht="14.5">
      <c r="A106" s="16" t="s">
        <v>244</v>
      </c>
      <c r="B106" s="4" t="s">
        <v>12</v>
      </c>
      <c r="C106" s="3" t="s">
        <v>28</v>
      </c>
      <c r="D106" s="3" t="s">
        <v>47</v>
      </c>
      <c r="F106" s="3" t="s">
        <v>25</v>
      </c>
      <c r="G106" s="3">
        <v>5</v>
      </c>
      <c r="H106" s="3">
        <v>61.64</v>
      </c>
      <c r="I106" s="3" t="s">
        <v>245</v>
      </c>
      <c r="J106" s="3" t="s">
        <v>93</v>
      </c>
      <c r="K106" s="3" t="s">
        <v>83</v>
      </c>
    </row>
    <row r="107" spans="1:11" ht="14.5">
      <c r="A107" s="16" t="s">
        <v>246</v>
      </c>
      <c r="B107" s="4" t="s">
        <v>12</v>
      </c>
      <c r="C107" s="3" t="s">
        <v>59</v>
      </c>
      <c r="D107" s="3" t="s">
        <v>36</v>
      </c>
      <c r="E107" s="4" t="s">
        <v>43</v>
      </c>
      <c r="F107" s="3" t="s">
        <v>127</v>
      </c>
      <c r="G107" s="3">
        <v>8</v>
      </c>
      <c r="H107" s="3">
        <v>174.51</v>
      </c>
      <c r="I107" s="3" t="s">
        <v>247</v>
      </c>
      <c r="J107" s="3" t="s">
        <v>18</v>
      </c>
      <c r="K107" s="3" t="s">
        <v>40</v>
      </c>
    </row>
    <row r="108" spans="1:11" ht="14.5">
      <c r="A108" s="16" t="s">
        <v>108</v>
      </c>
      <c r="C108" s="3" t="s">
        <v>42</v>
      </c>
      <c r="D108" s="3" t="s">
        <v>29</v>
      </c>
      <c r="F108" s="3" t="s">
        <v>101</v>
      </c>
      <c r="G108" s="3">
        <v>3</v>
      </c>
      <c r="H108" s="3">
        <v>433.96</v>
      </c>
      <c r="I108" s="3" t="s">
        <v>26</v>
      </c>
      <c r="J108" s="3" t="s">
        <v>93</v>
      </c>
      <c r="K108" s="3" t="s">
        <v>83</v>
      </c>
    </row>
    <row r="109" spans="1:11" ht="14.5">
      <c r="A109" s="16" t="s">
        <v>100</v>
      </c>
      <c r="B109" s="3" t="s">
        <v>21</v>
      </c>
      <c r="C109" s="3" t="s">
        <v>42</v>
      </c>
      <c r="D109" s="3" t="s">
        <v>36</v>
      </c>
      <c r="E109" s="4" t="s">
        <v>43</v>
      </c>
      <c r="F109" s="3" t="s">
        <v>67</v>
      </c>
      <c r="G109" s="3">
        <v>3</v>
      </c>
      <c r="H109" s="3">
        <v>412.65</v>
      </c>
      <c r="I109" s="3" t="s">
        <v>248</v>
      </c>
      <c r="J109" s="3" t="s">
        <v>75</v>
      </c>
      <c r="K109" s="3" t="s">
        <v>33</v>
      </c>
    </row>
    <row r="110" spans="1:11" ht="14.5">
      <c r="A110" s="16" t="s">
        <v>249</v>
      </c>
      <c r="C110" s="3" t="s">
        <v>42</v>
      </c>
      <c r="D110" s="3" t="s">
        <v>23</v>
      </c>
      <c r="E110" s="4" t="s">
        <v>43</v>
      </c>
      <c r="F110" s="3" t="s">
        <v>101</v>
      </c>
      <c r="G110" s="3">
        <v>12</v>
      </c>
      <c r="H110" s="3">
        <v>354.94</v>
      </c>
      <c r="I110" s="3" t="s">
        <v>175</v>
      </c>
      <c r="J110" s="3" t="s">
        <v>75</v>
      </c>
      <c r="K110" s="3" t="s">
        <v>40</v>
      </c>
    </row>
    <row r="111" spans="1:11" ht="14.5">
      <c r="A111" s="16" t="s">
        <v>250</v>
      </c>
      <c r="B111" s="3" t="s">
        <v>146</v>
      </c>
      <c r="C111" s="3" t="s">
        <v>87</v>
      </c>
      <c r="D111" s="3" t="s">
        <v>14</v>
      </c>
      <c r="E111" s="3" t="s">
        <v>24</v>
      </c>
      <c r="F111" s="4" t="s">
        <v>91</v>
      </c>
      <c r="G111" s="3">
        <v>5</v>
      </c>
      <c r="H111" s="3">
        <v>377.07</v>
      </c>
      <c r="I111" s="3" t="s">
        <v>251</v>
      </c>
      <c r="J111" s="3" t="s">
        <v>57</v>
      </c>
      <c r="K111" s="3" t="s">
        <v>83</v>
      </c>
    </row>
    <row r="112" spans="1:11" ht="14.5">
      <c r="A112" s="16" t="s">
        <v>252</v>
      </c>
      <c r="B112" s="4" t="s">
        <v>12</v>
      </c>
      <c r="C112" s="3" t="s">
        <v>87</v>
      </c>
      <c r="D112" s="3" t="s">
        <v>50</v>
      </c>
      <c r="E112" s="4" t="s">
        <v>43</v>
      </c>
      <c r="F112" s="3" t="s">
        <v>88</v>
      </c>
      <c r="G112" s="3">
        <v>19</v>
      </c>
      <c r="H112" s="3">
        <v>296.83999999999997</v>
      </c>
      <c r="I112" s="3" t="s">
        <v>197</v>
      </c>
      <c r="J112" s="3" t="s">
        <v>18</v>
      </c>
      <c r="K112" s="3" t="s">
        <v>19</v>
      </c>
    </row>
    <row r="113" spans="1:11" ht="14.5">
      <c r="A113" s="16" t="s">
        <v>253</v>
      </c>
      <c r="B113" s="3" t="s">
        <v>21</v>
      </c>
      <c r="C113" s="3" t="s">
        <v>13</v>
      </c>
      <c r="D113" s="3" t="s">
        <v>29</v>
      </c>
      <c r="E113" s="4" t="s">
        <v>43</v>
      </c>
      <c r="F113" s="3" t="s">
        <v>38</v>
      </c>
      <c r="G113" s="3">
        <v>15</v>
      </c>
      <c r="H113" s="3">
        <v>227.65</v>
      </c>
      <c r="I113" s="3" t="s">
        <v>222</v>
      </c>
      <c r="J113" s="3" t="s">
        <v>65</v>
      </c>
      <c r="K113" s="3" t="s">
        <v>80</v>
      </c>
    </row>
    <row r="114" spans="1:11" ht="14.5">
      <c r="A114" s="16" t="s">
        <v>254</v>
      </c>
      <c r="B114" s="3" t="s">
        <v>146</v>
      </c>
      <c r="C114" s="3" t="s">
        <v>28</v>
      </c>
      <c r="D114" s="3" t="s">
        <v>47</v>
      </c>
      <c r="E114" s="4" t="s">
        <v>43</v>
      </c>
      <c r="F114" s="3" t="s">
        <v>30</v>
      </c>
      <c r="G114" s="3">
        <v>8</v>
      </c>
      <c r="H114" s="3">
        <v>483.4</v>
      </c>
      <c r="I114" s="3" t="s">
        <v>255</v>
      </c>
    </row>
    <row r="115" spans="1:11" ht="14.5">
      <c r="A115" s="16" t="s">
        <v>256</v>
      </c>
      <c r="B115" s="4" t="s">
        <v>12</v>
      </c>
      <c r="C115" s="3" t="s">
        <v>22</v>
      </c>
      <c r="D115" s="3" t="s">
        <v>14</v>
      </c>
      <c r="E115" s="3" t="s">
        <v>70</v>
      </c>
      <c r="F115" s="3" t="s">
        <v>106</v>
      </c>
      <c r="G115" s="3">
        <v>16</v>
      </c>
      <c r="H115" s="3">
        <v>134.41</v>
      </c>
      <c r="I115" s="3" t="s">
        <v>97</v>
      </c>
      <c r="J115" s="3" t="s">
        <v>18</v>
      </c>
      <c r="K115" s="3" t="s">
        <v>80</v>
      </c>
    </row>
    <row r="116" spans="1:11" ht="14.5">
      <c r="A116" s="16" t="s">
        <v>257</v>
      </c>
      <c r="B116" s="4" t="s">
        <v>12</v>
      </c>
      <c r="C116" s="3" t="s">
        <v>28</v>
      </c>
      <c r="D116" s="3" t="s">
        <v>29</v>
      </c>
      <c r="E116" s="3" t="s">
        <v>70</v>
      </c>
      <c r="F116" s="3" t="s">
        <v>183</v>
      </c>
      <c r="G116" s="3">
        <v>11</v>
      </c>
      <c r="H116" s="3">
        <v>444.78</v>
      </c>
      <c r="I116" s="3" t="s">
        <v>222</v>
      </c>
      <c r="J116" s="3" t="s">
        <v>75</v>
      </c>
      <c r="K116" s="3" t="s">
        <v>80</v>
      </c>
    </row>
    <row r="117" spans="1:11" ht="14.5">
      <c r="A117" s="16" t="s">
        <v>258</v>
      </c>
      <c r="C117" s="3" t="s">
        <v>22</v>
      </c>
      <c r="D117" s="3" t="s">
        <v>47</v>
      </c>
      <c r="E117" s="4" t="s">
        <v>43</v>
      </c>
      <c r="F117" s="3" t="s">
        <v>67</v>
      </c>
      <c r="G117" s="3">
        <v>16</v>
      </c>
      <c r="H117" s="3">
        <v>330.8</v>
      </c>
      <c r="I117" s="3" t="s">
        <v>92</v>
      </c>
      <c r="J117" s="3" t="s">
        <v>65</v>
      </c>
      <c r="K117" s="3" t="s">
        <v>33</v>
      </c>
    </row>
    <row r="118" spans="1:11" ht="14.5">
      <c r="A118" s="16" t="s">
        <v>259</v>
      </c>
      <c r="B118" s="4" t="s">
        <v>12</v>
      </c>
      <c r="C118" s="3" t="s">
        <v>59</v>
      </c>
      <c r="D118" s="3" t="s">
        <v>29</v>
      </c>
      <c r="E118" s="4" t="s">
        <v>15</v>
      </c>
      <c r="F118" s="3" t="s">
        <v>63</v>
      </c>
      <c r="G118" s="3">
        <v>11</v>
      </c>
      <c r="H118" s="3">
        <v>211.7</v>
      </c>
      <c r="I118" s="3" t="s">
        <v>158</v>
      </c>
      <c r="J118" s="3" t="s">
        <v>65</v>
      </c>
      <c r="K118" s="3" t="s">
        <v>40</v>
      </c>
    </row>
    <row r="119" spans="1:11" ht="14.5">
      <c r="A119" s="16" t="s">
        <v>260</v>
      </c>
      <c r="B119" s="4" t="s">
        <v>12</v>
      </c>
      <c r="C119" s="3" t="s">
        <v>59</v>
      </c>
      <c r="D119" s="3" t="s">
        <v>23</v>
      </c>
      <c r="E119" s="4" t="s">
        <v>15</v>
      </c>
      <c r="F119" s="3" t="s">
        <v>38</v>
      </c>
      <c r="G119" s="3">
        <v>2</v>
      </c>
      <c r="H119" s="3">
        <v>265.37</v>
      </c>
      <c r="I119" s="3" t="s">
        <v>261</v>
      </c>
      <c r="J119" s="3" t="s">
        <v>18</v>
      </c>
      <c r="K119" s="3" t="s">
        <v>52</v>
      </c>
    </row>
    <row r="120" spans="1:11" ht="14.5">
      <c r="A120" s="16" t="s">
        <v>262</v>
      </c>
      <c r="B120" s="3" t="s">
        <v>35</v>
      </c>
      <c r="C120" s="3" t="s">
        <v>28</v>
      </c>
      <c r="D120" s="3" t="s">
        <v>50</v>
      </c>
      <c r="E120" s="4" t="s">
        <v>37</v>
      </c>
      <c r="F120" s="3" t="s">
        <v>71</v>
      </c>
      <c r="G120" s="3">
        <v>12</v>
      </c>
      <c r="H120" s="3">
        <v>110.85</v>
      </c>
      <c r="I120" s="3" t="s">
        <v>72</v>
      </c>
      <c r="J120" s="3" t="s">
        <v>75</v>
      </c>
      <c r="K120" s="3" t="s">
        <v>40</v>
      </c>
    </row>
    <row r="121" spans="1:11" ht="14.5">
      <c r="A121" s="16" t="s">
        <v>263</v>
      </c>
      <c r="B121" s="3" t="s">
        <v>35</v>
      </c>
      <c r="C121" s="3" t="s">
        <v>77</v>
      </c>
      <c r="D121" s="3" t="s">
        <v>29</v>
      </c>
      <c r="E121" s="4" t="s">
        <v>37</v>
      </c>
      <c r="F121" s="3" t="s">
        <v>117</v>
      </c>
      <c r="G121" s="3">
        <v>16</v>
      </c>
      <c r="H121" s="3">
        <v>475.32</v>
      </c>
      <c r="I121" s="3" t="s">
        <v>130</v>
      </c>
      <c r="J121" s="3" t="s">
        <v>65</v>
      </c>
    </row>
    <row r="122" spans="1:11" ht="14.5">
      <c r="A122" s="16" t="s">
        <v>264</v>
      </c>
      <c r="B122" s="3" t="s">
        <v>21</v>
      </c>
      <c r="C122" s="3" t="s">
        <v>62</v>
      </c>
      <c r="D122" s="3" t="s">
        <v>36</v>
      </c>
      <c r="E122" s="3" t="s">
        <v>70</v>
      </c>
      <c r="F122" s="3" t="s">
        <v>25</v>
      </c>
      <c r="G122" s="3">
        <v>8</v>
      </c>
      <c r="H122" s="3">
        <v>295.39999999999998</v>
      </c>
      <c r="I122" s="3" t="s">
        <v>230</v>
      </c>
      <c r="J122" s="3" t="s">
        <v>75</v>
      </c>
    </row>
    <row r="123" spans="1:11" ht="14.5">
      <c r="A123" s="16" t="s">
        <v>265</v>
      </c>
      <c r="B123" s="4" t="s">
        <v>12</v>
      </c>
      <c r="C123" s="3" t="s">
        <v>13</v>
      </c>
      <c r="D123" s="3" t="s">
        <v>47</v>
      </c>
      <c r="E123" s="4" t="s">
        <v>37</v>
      </c>
      <c r="F123" s="3" t="s">
        <v>213</v>
      </c>
      <c r="G123" s="3">
        <v>14</v>
      </c>
      <c r="H123" s="3">
        <v>170.93</v>
      </c>
      <c r="I123" s="3" t="s">
        <v>197</v>
      </c>
      <c r="J123" s="3" t="s">
        <v>65</v>
      </c>
      <c r="K123" s="3" t="s">
        <v>80</v>
      </c>
    </row>
    <row r="124" spans="1:11" ht="14.5">
      <c r="A124" s="16" t="s">
        <v>266</v>
      </c>
      <c r="B124" s="3" t="s">
        <v>35</v>
      </c>
      <c r="C124" s="3" t="s">
        <v>77</v>
      </c>
      <c r="D124" s="3" t="s">
        <v>36</v>
      </c>
      <c r="E124" s="4" t="s">
        <v>43</v>
      </c>
      <c r="F124" s="3" t="s">
        <v>25</v>
      </c>
      <c r="G124" s="3">
        <v>9</v>
      </c>
      <c r="H124" s="3">
        <v>121.95</v>
      </c>
      <c r="I124" s="3" t="s">
        <v>267</v>
      </c>
      <c r="J124" s="3" t="s">
        <v>57</v>
      </c>
      <c r="K124" s="3" t="s">
        <v>19</v>
      </c>
    </row>
    <row r="125" spans="1:11" ht="14.5">
      <c r="A125" s="16" t="s">
        <v>174</v>
      </c>
      <c r="B125" s="3" t="s">
        <v>46</v>
      </c>
      <c r="C125" s="3" t="s">
        <v>22</v>
      </c>
      <c r="D125" s="3" t="s">
        <v>50</v>
      </c>
      <c r="E125" s="4" t="s">
        <v>43</v>
      </c>
      <c r="F125" s="3" t="s">
        <v>25</v>
      </c>
      <c r="G125" s="3">
        <v>19</v>
      </c>
      <c r="H125" s="3">
        <v>407.81</v>
      </c>
      <c r="I125" s="3" t="s">
        <v>268</v>
      </c>
      <c r="K125" s="3" t="s">
        <v>80</v>
      </c>
    </row>
    <row r="126" spans="1:11" ht="14.5">
      <c r="A126" s="16" t="s">
        <v>269</v>
      </c>
      <c r="B126" s="4" t="s">
        <v>12</v>
      </c>
      <c r="C126" s="3" t="s">
        <v>28</v>
      </c>
      <c r="D126" s="3" t="s">
        <v>50</v>
      </c>
      <c r="F126" s="3" t="s">
        <v>16</v>
      </c>
      <c r="G126" s="3">
        <v>10</v>
      </c>
      <c r="H126" s="3">
        <v>256.48</v>
      </c>
      <c r="I126" s="3" t="s">
        <v>270</v>
      </c>
      <c r="J126" s="3" t="s">
        <v>18</v>
      </c>
    </row>
    <row r="127" spans="1:11" ht="14.5">
      <c r="A127" s="16" t="s">
        <v>271</v>
      </c>
      <c r="B127" s="3" t="s">
        <v>146</v>
      </c>
      <c r="C127" s="3" t="s">
        <v>87</v>
      </c>
      <c r="D127" s="3" t="s">
        <v>36</v>
      </c>
      <c r="E127" s="4" t="s">
        <v>37</v>
      </c>
      <c r="F127" s="3" t="s">
        <v>169</v>
      </c>
      <c r="G127" s="3">
        <v>7</v>
      </c>
      <c r="H127" s="3">
        <v>97.86</v>
      </c>
      <c r="I127" s="3" t="s">
        <v>251</v>
      </c>
      <c r="J127" s="3" t="s">
        <v>65</v>
      </c>
      <c r="K127" s="3" t="s">
        <v>83</v>
      </c>
    </row>
    <row r="128" spans="1:11" ht="14.5">
      <c r="A128" s="16" t="s">
        <v>272</v>
      </c>
      <c r="B128" s="4" t="s">
        <v>12</v>
      </c>
      <c r="C128" s="3" t="s">
        <v>42</v>
      </c>
      <c r="D128" s="3" t="s">
        <v>23</v>
      </c>
      <c r="E128" s="3" t="s">
        <v>70</v>
      </c>
      <c r="F128" s="3" t="s">
        <v>273</v>
      </c>
      <c r="G128" s="3">
        <v>17</v>
      </c>
      <c r="H128" s="3">
        <v>131.51</v>
      </c>
      <c r="I128" s="3" t="s">
        <v>274</v>
      </c>
      <c r="J128" s="3" t="s">
        <v>75</v>
      </c>
      <c r="K128" s="3" t="s">
        <v>80</v>
      </c>
    </row>
    <row r="129" spans="1:11" ht="14.5">
      <c r="A129" s="16" t="s">
        <v>275</v>
      </c>
      <c r="C129" s="3" t="s">
        <v>42</v>
      </c>
      <c r="D129" s="3" t="s">
        <v>47</v>
      </c>
      <c r="E129" s="4" t="s">
        <v>37</v>
      </c>
      <c r="F129" s="3" t="s">
        <v>169</v>
      </c>
      <c r="G129" s="3">
        <v>5</v>
      </c>
      <c r="H129" s="3">
        <v>308.14</v>
      </c>
      <c r="I129" s="3" t="s">
        <v>197</v>
      </c>
      <c r="J129" s="3" t="s">
        <v>93</v>
      </c>
      <c r="K129" s="3" t="s">
        <v>40</v>
      </c>
    </row>
    <row r="130" spans="1:11" ht="14.5">
      <c r="A130" s="16" t="s">
        <v>276</v>
      </c>
      <c r="C130" s="3" t="s">
        <v>77</v>
      </c>
      <c r="D130" s="3" t="s">
        <v>47</v>
      </c>
      <c r="E130" s="3" t="s">
        <v>70</v>
      </c>
      <c r="F130" s="3" t="s">
        <v>101</v>
      </c>
      <c r="G130" s="3">
        <v>19</v>
      </c>
      <c r="H130" s="3">
        <v>26.36</v>
      </c>
      <c r="I130" s="3" t="s">
        <v>277</v>
      </c>
      <c r="J130" s="3" t="s">
        <v>75</v>
      </c>
    </row>
    <row r="131" spans="1:11" ht="14.5">
      <c r="A131" s="16" t="s">
        <v>58</v>
      </c>
      <c r="B131" s="4" t="s">
        <v>12</v>
      </c>
      <c r="C131" s="3" t="s">
        <v>62</v>
      </c>
      <c r="D131" s="3" t="s">
        <v>23</v>
      </c>
      <c r="E131" s="4" t="s">
        <v>43</v>
      </c>
      <c r="F131" s="3" t="s">
        <v>78</v>
      </c>
      <c r="G131" s="3">
        <v>3</v>
      </c>
      <c r="H131" s="3">
        <v>206.31</v>
      </c>
      <c r="I131" s="3" t="s">
        <v>219</v>
      </c>
    </row>
    <row r="132" spans="1:11" ht="14.5">
      <c r="A132" s="16" t="s">
        <v>187</v>
      </c>
      <c r="C132" s="3" t="s">
        <v>13</v>
      </c>
      <c r="D132" s="3" t="s">
        <v>47</v>
      </c>
      <c r="E132" s="4" t="s">
        <v>15</v>
      </c>
      <c r="F132" s="3" t="s">
        <v>106</v>
      </c>
      <c r="G132" s="3">
        <v>16</v>
      </c>
      <c r="H132" s="3">
        <v>488.67</v>
      </c>
      <c r="I132" s="3" t="s">
        <v>136</v>
      </c>
      <c r="J132" s="3" t="s">
        <v>65</v>
      </c>
      <c r="K132" s="3" t="s">
        <v>80</v>
      </c>
    </row>
    <row r="133" spans="1:11" ht="14.5">
      <c r="A133" s="16" t="s">
        <v>210</v>
      </c>
      <c r="B133" s="3" t="s">
        <v>54</v>
      </c>
      <c r="C133" s="3" t="s">
        <v>62</v>
      </c>
      <c r="D133" s="3" t="s">
        <v>50</v>
      </c>
      <c r="E133" s="4" t="s">
        <v>37</v>
      </c>
      <c r="F133" s="3" t="s">
        <v>169</v>
      </c>
      <c r="G133" s="3">
        <v>8</v>
      </c>
      <c r="H133" s="3">
        <v>164.06</v>
      </c>
      <c r="I133" s="3" t="s">
        <v>278</v>
      </c>
      <c r="K133" s="3" t="s">
        <v>52</v>
      </c>
    </row>
    <row r="134" spans="1:11" ht="14.5">
      <c r="A134" s="16" t="s">
        <v>279</v>
      </c>
      <c r="B134" s="4" t="s">
        <v>12</v>
      </c>
      <c r="C134" s="3" t="s">
        <v>87</v>
      </c>
      <c r="D134" s="3" t="s">
        <v>47</v>
      </c>
      <c r="E134" s="4" t="s">
        <v>15</v>
      </c>
      <c r="F134" s="3" t="s">
        <v>213</v>
      </c>
      <c r="G134" s="3">
        <v>11</v>
      </c>
      <c r="H134" s="3">
        <v>159.05000000000001</v>
      </c>
      <c r="I134" s="3" t="s">
        <v>280</v>
      </c>
      <c r="J134" s="3" t="s">
        <v>65</v>
      </c>
      <c r="K134" s="3" t="s">
        <v>52</v>
      </c>
    </row>
    <row r="135" spans="1:11" ht="14.5">
      <c r="A135" s="16" t="s">
        <v>279</v>
      </c>
      <c r="B135" s="3" t="s">
        <v>21</v>
      </c>
      <c r="C135" s="3" t="s">
        <v>13</v>
      </c>
      <c r="D135" s="3" t="s">
        <v>47</v>
      </c>
      <c r="E135" s="4" t="s">
        <v>37</v>
      </c>
      <c r="F135" s="3" t="s">
        <v>127</v>
      </c>
      <c r="G135" s="3">
        <v>9</v>
      </c>
      <c r="H135" s="3">
        <v>323.62</v>
      </c>
      <c r="I135" s="3" t="s">
        <v>281</v>
      </c>
      <c r="K135" s="3" t="s">
        <v>40</v>
      </c>
    </row>
    <row r="136" spans="1:11" ht="14.5">
      <c r="A136" s="16" t="s">
        <v>282</v>
      </c>
      <c r="B136" s="4" t="s">
        <v>12</v>
      </c>
      <c r="C136" s="3" t="s">
        <v>59</v>
      </c>
      <c r="D136" s="3" t="s">
        <v>36</v>
      </c>
      <c r="E136" s="4" t="s">
        <v>43</v>
      </c>
      <c r="F136" s="3" t="s">
        <v>30</v>
      </c>
      <c r="G136" s="3">
        <v>12</v>
      </c>
      <c r="H136" s="3">
        <v>150.46</v>
      </c>
      <c r="I136" s="3" t="s">
        <v>283</v>
      </c>
      <c r="J136" s="3" t="s">
        <v>75</v>
      </c>
    </row>
    <row r="137" spans="1:11" ht="14.5">
      <c r="A137" s="16" t="s">
        <v>176</v>
      </c>
      <c r="B137" s="3" t="s">
        <v>21</v>
      </c>
      <c r="C137" s="3" t="s">
        <v>59</v>
      </c>
      <c r="D137" s="3" t="s">
        <v>47</v>
      </c>
      <c r="E137" s="3" t="s">
        <v>24</v>
      </c>
      <c r="F137" s="3" t="s">
        <v>71</v>
      </c>
      <c r="G137" s="3">
        <v>10</v>
      </c>
      <c r="H137" s="3">
        <v>494.59</v>
      </c>
      <c r="I137" s="3" t="s">
        <v>284</v>
      </c>
      <c r="J137" s="3" t="s">
        <v>57</v>
      </c>
      <c r="K137" s="3" t="s">
        <v>80</v>
      </c>
    </row>
    <row r="138" spans="1:11" ht="14.5">
      <c r="A138" s="16" t="s">
        <v>279</v>
      </c>
      <c r="B138" s="3" t="s">
        <v>21</v>
      </c>
      <c r="C138" s="3" t="s">
        <v>42</v>
      </c>
      <c r="D138" s="3" t="s">
        <v>36</v>
      </c>
      <c r="E138" s="4" t="s">
        <v>37</v>
      </c>
      <c r="F138" s="3" t="s">
        <v>55</v>
      </c>
      <c r="G138" s="3">
        <v>16</v>
      </c>
      <c r="H138" s="3">
        <v>13.76</v>
      </c>
      <c r="I138" s="3" t="s">
        <v>285</v>
      </c>
      <c r="J138" s="3" t="s">
        <v>57</v>
      </c>
    </row>
    <row r="139" spans="1:11" ht="14.5">
      <c r="A139" s="16" t="s">
        <v>286</v>
      </c>
      <c r="B139" s="3" t="s">
        <v>35</v>
      </c>
      <c r="C139" s="3" t="s">
        <v>62</v>
      </c>
      <c r="D139" s="3" t="s">
        <v>23</v>
      </c>
      <c r="E139" s="4" t="s">
        <v>43</v>
      </c>
      <c r="F139" s="3" t="s">
        <v>106</v>
      </c>
      <c r="G139" s="3">
        <v>2</v>
      </c>
      <c r="H139" s="3">
        <v>18.489999999999998</v>
      </c>
      <c r="I139" s="3" t="s">
        <v>287</v>
      </c>
      <c r="J139" s="3" t="s">
        <v>18</v>
      </c>
      <c r="K139" s="3" t="s">
        <v>52</v>
      </c>
    </row>
    <row r="140" spans="1:11" ht="14.5">
      <c r="A140" s="16" t="s">
        <v>288</v>
      </c>
      <c r="B140" s="3" t="s">
        <v>146</v>
      </c>
      <c r="C140" s="3" t="s">
        <v>22</v>
      </c>
      <c r="D140" s="3" t="s">
        <v>29</v>
      </c>
      <c r="E140" s="4" t="s">
        <v>43</v>
      </c>
      <c r="F140" s="3" t="s">
        <v>101</v>
      </c>
      <c r="G140" s="3">
        <v>16</v>
      </c>
      <c r="H140" s="3">
        <v>413.6</v>
      </c>
      <c r="I140" s="3" t="s">
        <v>79</v>
      </c>
      <c r="J140" s="3" t="s">
        <v>93</v>
      </c>
      <c r="K140" s="3" t="s">
        <v>40</v>
      </c>
    </row>
    <row r="141" spans="1:11" ht="14.5">
      <c r="A141" s="16" t="s">
        <v>289</v>
      </c>
      <c r="B141" s="4" t="s">
        <v>12</v>
      </c>
      <c r="C141" s="3" t="s">
        <v>42</v>
      </c>
      <c r="D141" s="3" t="s">
        <v>50</v>
      </c>
      <c r="E141" s="3" t="s">
        <v>70</v>
      </c>
      <c r="F141" s="3" t="s">
        <v>106</v>
      </c>
      <c r="G141" s="3">
        <v>19</v>
      </c>
      <c r="H141" s="3">
        <v>332.62</v>
      </c>
      <c r="I141" s="3" t="s">
        <v>48</v>
      </c>
      <c r="J141" s="3" t="s">
        <v>75</v>
      </c>
      <c r="K141" s="3" t="s">
        <v>40</v>
      </c>
    </row>
    <row r="142" spans="1:11" ht="14.5">
      <c r="A142" s="16" t="s">
        <v>290</v>
      </c>
      <c r="B142" s="4" t="s">
        <v>12</v>
      </c>
      <c r="C142" s="3" t="s">
        <v>87</v>
      </c>
      <c r="D142" s="3" t="s">
        <v>14</v>
      </c>
      <c r="E142" s="4" t="s">
        <v>15</v>
      </c>
      <c r="F142" s="3" t="s">
        <v>112</v>
      </c>
      <c r="G142" s="3">
        <v>5</v>
      </c>
      <c r="H142" s="3">
        <v>13.37</v>
      </c>
      <c r="I142" s="3" t="s">
        <v>136</v>
      </c>
      <c r="J142" s="3" t="s">
        <v>93</v>
      </c>
      <c r="K142" s="3" t="s">
        <v>19</v>
      </c>
    </row>
    <row r="143" spans="1:11" ht="14.5">
      <c r="A143" s="16" t="s">
        <v>159</v>
      </c>
      <c r="C143" s="3" t="s">
        <v>59</v>
      </c>
      <c r="D143" s="3" t="s">
        <v>14</v>
      </c>
      <c r="E143" s="4" t="s">
        <v>15</v>
      </c>
      <c r="F143" s="3" t="s">
        <v>273</v>
      </c>
      <c r="G143" s="3">
        <v>4</v>
      </c>
      <c r="H143" s="3">
        <v>489.72</v>
      </c>
      <c r="I143" s="3" t="s">
        <v>291</v>
      </c>
      <c r="J143" s="3" t="s">
        <v>93</v>
      </c>
      <c r="K143" s="3" t="s">
        <v>40</v>
      </c>
    </row>
    <row r="144" spans="1:11" ht="14.5">
      <c r="A144" s="16" t="s">
        <v>292</v>
      </c>
      <c r="B144" s="3" t="s">
        <v>21</v>
      </c>
      <c r="C144" s="3" t="s">
        <v>42</v>
      </c>
      <c r="D144" s="3" t="s">
        <v>23</v>
      </c>
      <c r="E144" s="3" t="s">
        <v>70</v>
      </c>
      <c r="F144" s="3" t="s">
        <v>25</v>
      </c>
      <c r="G144" s="3">
        <v>14</v>
      </c>
      <c r="H144" s="3">
        <v>468.15</v>
      </c>
      <c r="I144" s="3" t="s">
        <v>293</v>
      </c>
      <c r="J144" s="3" t="s">
        <v>32</v>
      </c>
      <c r="K144" s="3" t="s">
        <v>33</v>
      </c>
    </row>
    <row r="145" spans="1:11" ht="14.5">
      <c r="A145" s="16" t="s">
        <v>294</v>
      </c>
      <c r="B145" s="3" t="s">
        <v>54</v>
      </c>
      <c r="C145" s="3" t="s">
        <v>28</v>
      </c>
      <c r="D145" s="3" t="s">
        <v>14</v>
      </c>
      <c r="E145" s="3" t="s">
        <v>24</v>
      </c>
      <c r="F145" s="3" t="s">
        <v>88</v>
      </c>
      <c r="G145" s="3">
        <v>12</v>
      </c>
      <c r="H145" s="3">
        <v>447.09</v>
      </c>
      <c r="I145" s="3" t="s">
        <v>295</v>
      </c>
      <c r="J145" s="3" t="s">
        <v>65</v>
      </c>
      <c r="K145" s="3" t="s">
        <v>19</v>
      </c>
    </row>
    <row r="146" spans="1:11" ht="14.5">
      <c r="A146" s="16" t="s">
        <v>159</v>
      </c>
      <c r="B146" s="4" t="s">
        <v>12</v>
      </c>
      <c r="C146" s="3" t="s">
        <v>22</v>
      </c>
      <c r="D146" s="3" t="s">
        <v>36</v>
      </c>
      <c r="E146" s="4" t="s">
        <v>43</v>
      </c>
      <c r="F146" s="3" t="s">
        <v>67</v>
      </c>
      <c r="G146" s="3">
        <v>8</v>
      </c>
      <c r="H146" s="3">
        <v>83.76</v>
      </c>
      <c r="I146" s="3" t="s">
        <v>296</v>
      </c>
      <c r="J146" s="3" t="s">
        <v>18</v>
      </c>
      <c r="K146" s="3" t="s">
        <v>80</v>
      </c>
    </row>
    <row r="147" spans="1:11" ht="14.5">
      <c r="A147" s="16" t="s">
        <v>166</v>
      </c>
      <c r="B147" s="3" t="s">
        <v>21</v>
      </c>
      <c r="C147" s="3" t="s">
        <v>87</v>
      </c>
      <c r="D147" s="3" t="s">
        <v>47</v>
      </c>
      <c r="E147" s="4" t="s">
        <v>37</v>
      </c>
      <c r="F147" s="3" t="s">
        <v>183</v>
      </c>
      <c r="G147" s="3">
        <v>19</v>
      </c>
      <c r="H147" s="3">
        <v>111.45</v>
      </c>
      <c r="I147" s="3" t="s">
        <v>297</v>
      </c>
      <c r="J147" s="3" t="s">
        <v>75</v>
      </c>
    </row>
    <row r="148" spans="1:11" ht="14.5">
      <c r="A148" s="16" t="s">
        <v>98</v>
      </c>
      <c r="B148" s="3" t="s">
        <v>35</v>
      </c>
      <c r="C148" s="3" t="s">
        <v>22</v>
      </c>
      <c r="D148" s="3" t="s">
        <v>23</v>
      </c>
      <c r="E148" s="4" t="s">
        <v>15</v>
      </c>
      <c r="F148" s="3" t="s">
        <v>16</v>
      </c>
      <c r="G148" s="3">
        <v>7</v>
      </c>
      <c r="H148" s="3">
        <v>206.29</v>
      </c>
      <c r="I148" s="3" t="s">
        <v>99</v>
      </c>
      <c r="J148" s="3" t="s">
        <v>18</v>
      </c>
      <c r="K148" s="3" t="s">
        <v>19</v>
      </c>
    </row>
    <row r="149" spans="1:11" ht="14.5">
      <c r="A149" s="16" t="s">
        <v>260</v>
      </c>
      <c r="B149" s="3" t="s">
        <v>146</v>
      </c>
      <c r="C149" s="3" t="s">
        <v>62</v>
      </c>
      <c r="D149" s="3" t="s">
        <v>36</v>
      </c>
      <c r="E149" s="4" t="s">
        <v>37</v>
      </c>
      <c r="F149" s="3" t="s">
        <v>38</v>
      </c>
      <c r="G149" s="3">
        <v>6</v>
      </c>
      <c r="H149" s="3">
        <v>112.36</v>
      </c>
      <c r="I149" s="3" t="s">
        <v>298</v>
      </c>
      <c r="J149" s="3" t="s">
        <v>57</v>
      </c>
      <c r="K149" s="3" t="s">
        <v>19</v>
      </c>
    </row>
    <row r="150" spans="1:11" ht="14.5">
      <c r="A150" s="16" t="s">
        <v>299</v>
      </c>
      <c r="C150" s="3" t="s">
        <v>28</v>
      </c>
      <c r="D150" s="3" t="s">
        <v>36</v>
      </c>
      <c r="E150" s="4" t="s">
        <v>15</v>
      </c>
      <c r="F150" s="4" t="s">
        <v>91</v>
      </c>
      <c r="G150" s="3">
        <v>2</v>
      </c>
      <c r="H150" s="3">
        <v>51.36</v>
      </c>
      <c r="I150" s="3" t="s">
        <v>300</v>
      </c>
      <c r="J150" s="3" t="s">
        <v>65</v>
      </c>
      <c r="K150" s="3" t="s">
        <v>80</v>
      </c>
    </row>
    <row r="151" spans="1:11" ht="14.5">
      <c r="A151" s="16" t="s">
        <v>301</v>
      </c>
      <c r="B151" s="3" t="s">
        <v>35</v>
      </c>
      <c r="C151" s="3" t="s">
        <v>87</v>
      </c>
      <c r="D151" s="3" t="s">
        <v>36</v>
      </c>
      <c r="E151" s="4" t="s">
        <v>43</v>
      </c>
      <c r="F151" s="3" t="s">
        <v>106</v>
      </c>
      <c r="G151" s="3">
        <v>4</v>
      </c>
      <c r="H151" s="3">
        <v>5.61</v>
      </c>
      <c r="I151" s="3" t="s">
        <v>302</v>
      </c>
      <c r="J151" s="3" t="s">
        <v>18</v>
      </c>
    </row>
    <row r="152" spans="1:11" ht="14.5">
      <c r="A152" s="16" t="s">
        <v>76</v>
      </c>
      <c r="B152" s="3" t="s">
        <v>54</v>
      </c>
      <c r="C152" s="3" t="s">
        <v>62</v>
      </c>
      <c r="D152" s="3" t="s">
        <v>36</v>
      </c>
      <c r="E152" s="4" t="s">
        <v>43</v>
      </c>
      <c r="F152" s="3" t="s">
        <v>169</v>
      </c>
      <c r="G152" s="3">
        <v>19</v>
      </c>
      <c r="H152" s="3">
        <v>195.03</v>
      </c>
      <c r="I152" s="3" t="s">
        <v>297</v>
      </c>
      <c r="J152" s="3" t="s">
        <v>93</v>
      </c>
    </row>
    <row r="153" spans="1:11" ht="14.5">
      <c r="A153" s="16" t="s">
        <v>303</v>
      </c>
      <c r="B153" s="3" t="s">
        <v>54</v>
      </c>
      <c r="C153" s="3" t="s">
        <v>13</v>
      </c>
      <c r="D153" s="3" t="s">
        <v>29</v>
      </c>
      <c r="E153" s="4" t="s">
        <v>43</v>
      </c>
      <c r="F153" s="3" t="s">
        <v>30</v>
      </c>
      <c r="G153" s="3">
        <v>17</v>
      </c>
      <c r="H153" s="3">
        <v>340.48</v>
      </c>
      <c r="I153" s="3" t="s">
        <v>220</v>
      </c>
      <c r="J153" s="3" t="s">
        <v>18</v>
      </c>
      <c r="K153" s="3" t="s">
        <v>83</v>
      </c>
    </row>
    <row r="154" spans="1:11" ht="14.5">
      <c r="A154" s="16" t="s">
        <v>58</v>
      </c>
      <c r="B154" s="3" t="s">
        <v>46</v>
      </c>
      <c r="C154" s="3" t="s">
        <v>22</v>
      </c>
      <c r="D154" s="3" t="s">
        <v>14</v>
      </c>
      <c r="E154" s="4" t="s">
        <v>43</v>
      </c>
      <c r="F154" s="3" t="s">
        <v>67</v>
      </c>
      <c r="G154" s="3">
        <v>2</v>
      </c>
      <c r="H154" s="3">
        <v>481.11</v>
      </c>
      <c r="I154" s="3" t="s">
        <v>304</v>
      </c>
      <c r="K154" s="3" t="s">
        <v>80</v>
      </c>
    </row>
    <row r="155" spans="1:11" ht="14.5">
      <c r="A155" s="16" t="s">
        <v>305</v>
      </c>
      <c r="B155" s="3" t="s">
        <v>46</v>
      </c>
      <c r="C155" s="3" t="s">
        <v>42</v>
      </c>
      <c r="D155" s="3" t="s">
        <v>50</v>
      </c>
      <c r="E155" s="4" t="s">
        <v>15</v>
      </c>
      <c r="F155" s="4" t="s">
        <v>91</v>
      </c>
      <c r="G155" s="3">
        <v>18</v>
      </c>
      <c r="H155" s="3">
        <v>205.25</v>
      </c>
      <c r="I155" s="3" t="s">
        <v>141</v>
      </c>
      <c r="J155" s="3" t="s">
        <v>57</v>
      </c>
      <c r="K155" s="3" t="s">
        <v>83</v>
      </c>
    </row>
    <row r="156" spans="1:11" ht="14.5">
      <c r="A156" s="16" t="s">
        <v>253</v>
      </c>
      <c r="B156" s="3" t="s">
        <v>54</v>
      </c>
      <c r="C156" s="3" t="s">
        <v>28</v>
      </c>
      <c r="D156" s="3" t="s">
        <v>29</v>
      </c>
      <c r="E156" s="4" t="s">
        <v>15</v>
      </c>
      <c r="F156" s="3" t="s">
        <v>55</v>
      </c>
      <c r="G156" s="3">
        <v>11</v>
      </c>
      <c r="H156" s="3">
        <v>268.5</v>
      </c>
      <c r="I156" s="3" t="s">
        <v>267</v>
      </c>
      <c r="J156" s="3" t="s">
        <v>57</v>
      </c>
      <c r="K156" s="3" t="s">
        <v>40</v>
      </c>
    </row>
    <row r="157" spans="1:11" ht="14.5">
      <c r="A157" s="16" t="s">
        <v>260</v>
      </c>
      <c r="B157" s="3" t="s">
        <v>35</v>
      </c>
      <c r="C157" s="3" t="s">
        <v>77</v>
      </c>
      <c r="D157" s="3" t="s">
        <v>23</v>
      </c>
      <c r="F157" s="3" t="s">
        <v>71</v>
      </c>
      <c r="G157" s="3">
        <v>1</v>
      </c>
      <c r="H157" s="3">
        <v>304.64</v>
      </c>
      <c r="I157" s="3" t="s">
        <v>245</v>
      </c>
      <c r="J157" s="3" t="s">
        <v>18</v>
      </c>
      <c r="K157" s="3" t="s">
        <v>83</v>
      </c>
    </row>
    <row r="158" spans="1:11" ht="14.5">
      <c r="A158" s="16" t="s">
        <v>306</v>
      </c>
      <c r="C158" s="3" t="s">
        <v>28</v>
      </c>
      <c r="D158" s="3" t="s">
        <v>36</v>
      </c>
      <c r="E158" s="4" t="s">
        <v>15</v>
      </c>
      <c r="F158" s="3" t="s">
        <v>117</v>
      </c>
      <c r="G158" s="3">
        <v>6</v>
      </c>
      <c r="H158" s="3">
        <v>195.8</v>
      </c>
      <c r="I158" s="3" t="s">
        <v>307</v>
      </c>
      <c r="J158" s="3" t="s">
        <v>18</v>
      </c>
    </row>
    <row r="159" spans="1:11" ht="14.5">
      <c r="A159" s="16" t="s">
        <v>231</v>
      </c>
      <c r="B159" s="4" t="s">
        <v>12</v>
      </c>
      <c r="C159" s="3" t="s">
        <v>22</v>
      </c>
      <c r="D159" s="3" t="s">
        <v>14</v>
      </c>
      <c r="E159" s="4" t="s">
        <v>43</v>
      </c>
      <c r="F159" s="3" t="s">
        <v>127</v>
      </c>
      <c r="G159" s="3">
        <v>13</v>
      </c>
      <c r="H159" s="3">
        <v>199.56</v>
      </c>
      <c r="I159" s="3" t="s">
        <v>255</v>
      </c>
      <c r="J159" s="3" t="s">
        <v>93</v>
      </c>
      <c r="K159" s="3" t="s">
        <v>80</v>
      </c>
    </row>
    <row r="160" spans="1:11" ht="14.5">
      <c r="A160" s="16" t="s">
        <v>308</v>
      </c>
      <c r="B160" s="4" t="s">
        <v>12</v>
      </c>
      <c r="C160" s="3" t="s">
        <v>59</v>
      </c>
      <c r="D160" s="3" t="s">
        <v>50</v>
      </c>
      <c r="E160" s="4" t="s">
        <v>37</v>
      </c>
      <c r="F160" s="3" t="s">
        <v>213</v>
      </c>
      <c r="G160" s="3">
        <v>9</v>
      </c>
      <c r="H160" s="3">
        <v>241.77</v>
      </c>
      <c r="I160" s="3" t="s">
        <v>232</v>
      </c>
      <c r="J160" s="3" t="s">
        <v>32</v>
      </c>
      <c r="K160" s="3" t="s">
        <v>52</v>
      </c>
    </row>
    <row r="161" spans="1:11" ht="14.5">
      <c r="A161" s="16" t="s">
        <v>309</v>
      </c>
      <c r="B161" s="4" t="s">
        <v>12</v>
      </c>
      <c r="C161" s="3" t="s">
        <v>59</v>
      </c>
      <c r="D161" s="3" t="s">
        <v>36</v>
      </c>
      <c r="E161" s="4" t="s">
        <v>43</v>
      </c>
      <c r="F161" s="3" t="s">
        <v>101</v>
      </c>
      <c r="G161" s="3">
        <v>14</v>
      </c>
      <c r="H161" s="3">
        <v>423.19</v>
      </c>
      <c r="I161" s="3" t="s">
        <v>184</v>
      </c>
      <c r="J161" s="3" t="s">
        <v>75</v>
      </c>
      <c r="K161" s="3" t="s">
        <v>33</v>
      </c>
    </row>
    <row r="162" spans="1:11" ht="14.5">
      <c r="A162" s="16" t="s">
        <v>253</v>
      </c>
      <c r="B162" s="3" t="s">
        <v>46</v>
      </c>
      <c r="C162" s="3" t="s">
        <v>87</v>
      </c>
      <c r="D162" s="3" t="s">
        <v>36</v>
      </c>
      <c r="E162" s="3" t="s">
        <v>70</v>
      </c>
      <c r="F162" s="3" t="s">
        <v>106</v>
      </c>
      <c r="G162" s="3">
        <v>3</v>
      </c>
      <c r="H162" s="3">
        <v>388.94</v>
      </c>
      <c r="I162" s="3" t="s">
        <v>170</v>
      </c>
      <c r="J162" s="3" t="s">
        <v>18</v>
      </c>
      <c r="K162" s="3" t="s">
        <v>83</v>
      </c>
    </row>
    <row r="163" spans="1:11" ht="14.5">
      <c r="A163" s="16" t="s">
        <v>152</v>
      </c>
      <c r="B163" s="4" t="s">
        <v>12</v>
      </c>
      <c r="C163" s="3" t="s">
        <v>59</v>
      </c>
      <c r="D163" s="3" t="s">
        <v>29</v>
      </c>
      <c r="E163" s="4" t="s">
        <v>43</v>
      </c>
      <c r="F163" s="3" t="s">
        <v>63</v>
      </c>
      <c r="G163" s="3">
        <v>17</v>
      </c>
      <c r="H163" s="3">
        <v>258.97000000000003</v>
      </c>
      <c r="I163" s="3" t="s">
        <v>153</v>
      </c>
      <c r="J163" s="3" t="s">
        <v>18</v>
      </c>
      <c r="K163" s="3" t="s">
        <v>33</v>
      </c>
    </row>
    <row r="164" spans="1:11" ht="14.5">
      <c r="A164" s="16" t="s">
        <v>310</v>
      </c>
      <c r="B164" s="3" t="s">
        <v>54</v>
      </c>
      <c r="C164" s="3" t="s">
        <v>28</v>
      </c>
      <c r="D164" s="3" t="s">
        <v>47</v>
      </c>
      <c r="E164" s="4" t="s">
        <v>43</v>
      </c>
      <c r="F164" s="3" t="s">
        <v>183</v>
      </c>
      <c r="G164" s="3">
        <v>1</v>
      </c>
      <c r="H164" s="3">
        <v>37.65</v>
      </c>
      <c r="I164" s="3" t="s">
        <v>311</v>
      </c>
      <c r="J164" s="3" t="s">
        <v>18</v>
      </c>
    </row>
    <row r="165" spans="1:11" ht="14.5">
      <c r="A165" s="16" t="s">
        <v>312</v>
      </c>
      <c r="B165" s="3" t="s">
        <v>146</v>
      </c>
      <c r="C165" s="3" t="s">
        <v>22</v>
      </c>
      <c r="D165" s="3" t="s">
        <v>50</v>
      </c>
      <c r="F165" s="3" t="s">
        <v>63</v>
      </c>
      <c r="G165" s="3">
        <v>11</v>
      </c>
      <c r="H165" s="3">
        <v>499.21</v>
      </c>
      <c r="I165" s="3" t="s">
        <v>82</v>
      </c>
      <c r="J165" s="3" t="s">
        <v>57</v>
      </c>
      <c r="K165" s="3" t="s">
        <v>83</v>
      </c>
    </row>
    <row r="166" spans="1:11" ht="14.5">
      <c r="A166" s="16" t="s">
        <v>313</v>
      </c>
      <c r="B166" s="3" t="s">
        <v>21</v>
      </c>
      <c r="C166" s="3" t="s">
        <v>28</v>
      </c>
      <c r="D166" s="3" t="s">
        <v>23</v>
      </c>
      <c r="E166" s="4" t="s">
        <v>37</v>
      </c>
      <c r="F166" s="3" t="s">
        <v>112</v>
      </c>
      <c r="G166" s="3">
        <v>12</v>
      </c>
      <c r="H166" s="3">
        <v>492.85</v>
      </c>
      <c r="I166" s="3" t="s">
        <v>228</v>
      </c>
      <c r="J166" s="3" t="s">
        <v>75</v>
      </c>
      <c r="K166" s="3" t="s">
        <v>19</v>
      </c>
    </row>
    <row r="167" spans="1:11" ht="14.5">
      <c r="A167" s="16" t="s">
        <v>314</v>
      </c>
      <c r="B167" s="4" t="s">
        <v>12</v>
      </c>
      <c r="C167" s="3" t="s">
        <v>77</v>
      </c>
      <c r="D167" s="3" t="s">
        <v>36</v>
      </c>
      <c r="E167" s="4" t="s">
        <v>43</v>
      </c>
      <c r="F167" s="3" t="s">
        <v>273</v>
      </c>
      <c r="G167" s="3">
        <v>18</v>
      </c>
      <c r="H167" s="3">
        <v>74.11</v>
      </c>
      <c r="I167" s="3" t="s">
        <v>315</v>
      </c>
      <c r="J167" s="3" t="s">
        <v>32</v>
      </c>
      <c r="K167" s="3" t="s">
        <v>40</v>
      </c>
    </row>
    <row r="168" spans="1:11" ht="14.5">
      <c r="A168" s="16" t="s">
        <v>316</v>
      </c>
      <c r="C168" s="3" t="s">
        <v>62</v>
      </c>
      <c r="D168" s="3" t="s">
        <v>14</v>
      </c>
      <c r="E168" s="4" t="s">
        <v>43</v>
      </c>
      <c r="F168" s="3" t="s">
        <v>63</v>
      </c>
      <c r="G168" s="3">
        <v>6</v>
      </c>
      <c r="H168" s="3">
        <v>65.92</v>
      </c>
      <c r="I168" s="3" t="s">
        <v>172</v>
      </c>
      <c r="J168" s="3" t="s">
        <v>18</v>
      </c>
      <c r="K168" s="3" t="s">
        <v>80</v>
      </c>
    </row>
    <row r="169" spans="1:11" ht="14.5">
      <c r="A169" s="16" t="s">
        <v>210</v>
      </c>
      <c r="B169" s="3" t="s">
        <v>21</v>
      </c>
      <c r="C169" s="3" t="s">
        <v>28</v>
      </c>
      <c r="D169" s="3" t="s">
        <v>14</v>
      </c>
      <c r="E169" s="3" t="s">
        <v>24</v>
      </c>
      <c r="F169" s="3" t="s">
        <v>101</v>
      </c>
      <c r="G169" s="3">
        <v>20</v>
      </c>
      <c r="H169" s="3">
        <v>425.09</v>
      </c>
      <c r="I169" s="3" t="s">
        <v>211</v>
      </c>
      <c r="K169" s="3" t="s">
        <v>52</v>
      </c>
    </row>
    <row r="170" spans="1:11" ht="14.5">
      <c r="A170" s="16" t="s">
        <v>317</v>
      </c>
      <c r="B170" s="3" t="s">
        <v>21</v>
      </c>
      <c r="C170" s="3" t="s">
        <v>77</v>
      </c>
      <c r="D170" s="3" t="s">
        <v>47</v>
      </c>
      <c r="E170" s="4" t="s">
        <v>37</v>
      </c>
      <c r="F170" s="3" t="s">
        <v>25</v>
      </c>
      <c r="G170" s="3">
        <v>16</v>
      </c>
      <c r="H170" s="3">
        <v>395.11</v>
      </c>
      <c r="I170" s="3" t="s">
        <v>318</v>
      </c>
      <c r="J170" s="3" t="s">
        <v>18</v>
      </c>
      <c r="K170" s="3" t="s">
        <v>19</v>
      </c>
    </row>
    <row r="171" spans="1:11" ht="14.5">
      <c r="A171" s="16" t="s">
        <v>210</v>
      </c>
      <c r="B171" s="4" t="s">
        <v>12</v>
      </c>
      <c r="C171" s="3" t="s">
        <v>22</v>
      </c>
      <c r="D171" s="3" t="s">
        <v>36</v>
      </c>
      <c r="F171" s="3" t="s">
        <v>30</v>
      </c>
      <c r="G171" s="3">
        <v>8</v>
      </c>
      <c r="H171" s="3">
        <v>240.29</v>
      </c>
      <c r="I171" s="3" t="s">
        <v>245</v>
      </c>
      <c r="J171" s="3" t="s">
        <v>57</v>
      </c>
      <c r="K171" s="3" t="s">
        <v>40</v>
      </c>
    </row>
    <row r="172" spans="1:11" ht="14.5">
      <c r="A172" s="16" t="s">
        <v>319</v>
      </c>
      <c r="B172" s="4" t="s">
        <v>12</v>
      </c>
      <c r="C172" s="3" t="s">
        <v>42</v>
      </c>
      <c r="D172" s="3" t="s">
        <v>47</v>
      </c>
      <c r="E172" s="3" t="s">
        <v>70</v>
      </c>
      <c r="F172" s="3" t="s">
        <v>25</v>
      </c>
      <c r="G172" s="3">
        <v>20</v>
      </c>
      <c r="H172" s="3">
        <v>153.66999999999999</v>
      </c>
      <c r="I172" s="3" t="s">
        <v>297</v>
      </c>
      <c r="J172" s="3" t="s">
        <v>93</v>
      </c>
      <c r="K172" s="3" t="s">
        <v>33</v>
      </c>
    </row>
    <row r="173" spans="1:11" ht="14.5">
      <c r="A173" s="16" t="s">
        <v>320</v>
      </c>
      <c r="B173" s="3" t="s">
        <v>146</v>
      </c>
      <c r="C173" s="3" t="s">
        <v>28</v>
      </c>
      <c r="D173" s="3" t="s">
        <v>23</v>
      </c>
      <c r="E173" s="3" t="s">
        <v>70</v>
      </c>
      <c r="F173" s="3" t="s">
        <v>101</v>
      </c>
      <c r="G173" s="3">
        <v>14</v>
      </c>
      <c r="H173" s="3">
        <v>432.49</v>
      </c>
      <c r="I173" s="3" t="s">
        <v>321</v>
      </c>
    </row>
    <row r="174" spans="1:11" ht="14.5">
      <c r="A174" s="16" t="s">
        <v>322</v>
      </c>
      <c r="B174" s="4" t="s">
        <v>12</v>
      </c>
      <c r="C174" s="3" t="s">
        <v>62</v>
      </c>
      <c r="D174" s="3" t="s">
        <v>23</v>
      </c>
      <c r="E174" s="4" t="s">
        <v>37</v>
      </c>
      <c r="F174" s="3" t="s">
        <v>25</v>
      </c>
      <c r="G174" s="3">
        <v>7</v>
      </c>
      <c r="H174" s="3">
        <v>495.86</v>
      </c>
      <c r="I174" s="3" t="s">
        <v>323</v>
      </c>
      <c r="J174" s="3" t="s">
        <v>75</v>
      </c>
      <c r="K174" s="3" t="s">
        <v>52</v>
      </c>
    </row>
    <row r="175" spans="1:11" ht="14.5">
      <c r="A175" s="16" t="s">
        <v>324</v>
      </c>
      <c r="B175" s="3" t="s">
        <v>46</v>
      </c>
      <c r="C175" s="3" t="s">
        <v>13</v>
      </c>
      <c r="D175" s="3" t="s">
        <v>14</v>
      </c>
      <c r="E175" s="4" t="s">
        <v>43</v>
      </c>
      <c r="F175" s="3" t="s">
        <v>101</v>
      </c>
      <c r="G175" s="3">
        <v>1</v>
      </c>
      <c r="H175" s="3">
        <v>189.89</v>
      </c>
      <c r="I175" s="3" t="s">
        <v>121</v>
      </c>
      <c r="J175" s="3" t="s">
        <v>18</v>
      </c>
      <c r="K175" s="3" t="s">
        <v>19</v>
      </c>
    </row>
    <row r="176" spans="1:11" ht="14.5">
      <c r="A176" s="16" t="s">
        <v>325</v>
      </c>
      <c r="B176" s="3" t="s">
        <v>46</v>
      </c>
      <c r="C176" s="3" t="s">
        <v>87</v>
      </c>
      <c r="D176" s="3" t="s">
        <v>23</v>
      </c>
      <c r="F176" s="3" t="s">
        <v>117</v>
      </c>
      <c r="G176" s="3">
        <v>7</v>
      </c>
      <c r="H176" s="3">
        <v>42</v>
      </c>
      <c r="I176" s="3" t="s">
        <v>326</v>
      </c>
      <c r="K176" s="3" t="s">
        <v>19</v>
      </c>
    </row>
    <row r="177" spans="1:11" ht="14.5">
      <c r="A177" s="16" t="s">
        <v>178</v>
      </c>
      <c r="B177" s="3" t="s">
        <v>21</v>
      </c>
      <c r="C177" s="3" t="s">
        <v>87</v>
      </c>
      <c r="D177" s="3" t="s">
        <v>50</v>
      </c>
      <c r="E177" s="4" t="s">
        <v>37</v>
      </c>
      <c r="F177" s="3" t="s">
        <v>67</v>
      </c>
      <c r="G177" s="3">
        <v>8</v>
      </c>
      <c r="H177" s="3">
        <v>243.75</v>
      </c>
      <c r="I177" s="3" t="s">
        <v>138</v>
      </c>
      <c r="J177" s="3" t="s">
        <v>57</v>
      </c>
      <c r="K177" s="3" t="s">
        <v>83</v>
      </c>
    </row>
    <row r="178" spans="1:11" ht="14.5">
      <c r="A178" s="16" t="s">
        <v>327</v>
      </c>
      <c r="B178" s="4" t="s">
        <v>12</v>
      </c>
      <c r="C178" s="3" t="s">
        <v>59</v>
      </c>
      <c r="D178" s="3" t="s">
        <v>36</v>
      </c>
      <c r="E178" s="4" t="s">
        <v>37</v>
      </c>
      <c r="F178" s="3" t="s">
        <v>67</v>
      </c>
      <c r="G178" s="3">
        <v>17</v>
      </c>
      <c r="H178" s="3">
        <v>425.18</v>
      </c>
      <c r="I178" s="3" t="s">
        <v>328</v>
      </c>
      <c r="J178" s="3" t="s">
        <v>57</v>
      </c>
    </row>
    <row r="179" spans="1:11" ht="14.5">
      <c r="A179" s="16" t="s">
        <v>98</v>
      </c>
      <c r="B179" s="3" t="s">
        <v>54</v>
      </c>
      <c r="C179" s="3" t="s">
        <v>87</v>
      </c>
      <c r="D179" s="3" t="s">
        <v>23</v>
      </c>
      <c r="E179" s="4" t="s">
        <v>37</v>
      </c>
      <c r="F179" s="3" t="s">
        <v>183</v>
      </c>
      <c r="G179" s="3">
        <v>2</v>
      </c>
      <c r="H179" s="3">
        <v>323.5</v>
      </c>
      <c r="I179" s="3" t="s">
        <v>329</v>
      </c>
      <c r="J179" s="3" t="s">
        <v>65</v>
      </c>
      <c r="K179" s="3" t="s">
        <v>52</v>
      </c>
    </row>
    <row r="180" spans="1:11" ht="14.5">
      <c r="A180" s="16" t="s">
        <v>330</v>
      </c>
      <c r="C180" s="3" t="s">
        <v>87</v>
      </c>
      <c r="D180" s="3" t="s">
        <v>29</v>
      </c>
      <c r="E180" s="3" t="s">
        <v>70</v>
      </c>
      <c r="F180" s="3" t="s">
        <v>16</v>
      </c>
      <c r="G180" s="3">
        <v>2</v>
      </c>
      <c r="H180" s="3">
        <v>252.84</v>
      </c>
      <c r="I180" s="3" t="s">
        <v>331</v>
      </c>
      <c r="J180" s="3" t="s">
        <v>57</v>
      </c>
      <c r="K180" s="3" t="s">
        <v>40</v>
      </c>
    </row>
    <row r="181" spans="1:11" ht="14.5">
      <c r="A181" s="16" t="s">
        <v>272</v>
      </c>
      <c r="B181" s="4" t="s">
        <v>12</v>
      </c>
      <c r="C181" s="3" t="s">
        <v>42</v>
      </c>
      <c r="D181" s="3" t="s">
        <v>29</v>
      </c>
      <c r="E181" s="3" t="s">
        <v>70</v>
      </c>
      <c r="F181" s="3" t="s">
        <v>88</v>
      </c>
      <c r="G181" s="3">
        <v>16</v>
      </c>
      <c r="H181" s="3">
        <v>43.21</v>
      </c>
      <c r="I181" s="3" t="s">
        <v>332</v>
      </c>
      <c r="J181" s="3" t="s">
        <v>18</v>
      </c>
    </row>
    <row r="182" spans="1:11" ht="14.5">
      <c r="A182" s="16" t="s">
        <v>252</v>
      </c>
      <c r="B182" s="3" t="s">
        <v>54</v>
      </c>
      <c r="C182" s="3" t="s">
        <v>13</v>
      </c>
      <c r="D182" s="3" t="s">
        <v>50</v>
      </c>
      <c r="F182" s="3" t="s">
        <v>213</v>
      </c>
      <c r="G182" s="3">
        <v>5</v>
      </c>
      <c r="H182" s="3">
        <v>76.98</v>
      </c>
      <c r="I182" s="3" t="s">
        <v>333</v>
      </c>
      <c r="J182" s="3" t="s">
        <v>65</v>
      </c>
      <c r="K182" s="3" t="s">
        <v>80</v>
      </c>
    </row>
    <row r="183" spans="1:11" ht="14.5">
      <c r="A183" s="16" t="s">
        <v>334</v>
      </c>
      <c r="B183" s="4" t="s">
        <v>12</v>
      </c>
      <c r="C183" s="3" t="s">
        <v>42</v>
      </c>
      <c r="D183" s="3" t="s">
        <v>14</v>
      </c>
      <c r="E183" s="4" t="s">
        <v>15</v>
      </c>
      <c r="F183" s="3" t="s">
        <v>88</v>
      </c>
      <c r="G183" s="3">
        <v>4</v>
      </c>
      <c r="H183" s="3">
        <v>258.22000000000003</v>
      </c>
      <c r="I183" s="3" t="s">
        <v>335</v>
      </c>
      <c r="J183" s="3" t="s">
        <v>57</v>
      </c>
      <c r="K183" s="3" t="s">
        <v>40</v>
      </c>
    </row>
    <row r="184" spans="1:11" ht="14.5">
      <c r="A184" s="16" t="s">
        <v>336</v>
      </c>
      <c r="B184" s="3" t="s">
        <v>35</v>
      </c>
      <c r="C184" s="3" t="s">
        <v>42</v>
      </c>
      <c r="D184" s="3" t="s">
        <v>14</v>
      </c>
      <c r="E184" s="4" t="s">
        <v>43</v>
      </c>
      <c r="F184" s="3" t="s">
        <v>16</v>
      </c>
      <c r="G184" s="3">
        <v>17</v>
      </c>
      <c r="H184" s="3">
        <v>161.44</v>
      </c>
      <c r="I184" s="3" t="s">
        <v>337</v>
      </c>
      <c r="J184" s="3" t="s">
        <v>32</v>
      </c>
      <c r="K184" s="3" t="s">
        <v>80</v>
      </c>
    </row>
    <row r="185" spans="1:11" ht="14.5">
      <c r="A185" s="16" t="s">
        <v>338</v>
      </c>
      <c r="B185" s="3" t="s">
        <v>146</v>
      </c>
      <c r="C185" s="3" t="s">
        <v>28</v>
      </c>
      <c r="D185" s="3" t="s">
        <v>47</v>
      </c>
      <c r="E185" s="3" t="s">
        <v>24</v>
      </c>
      <c r="F185" s="3" t="s">
        <v>183</v>
      </c>
      <c r="G185" s="3">
        <v>6</v>
      </c>
      <c r="H185" s="3">
        <v>147.25</v>
      </c>
      <c r="I185" s="3" t="s">
        <v>339</v>
      </c>
      <c r="J185" s="3" t="s">
        <v>57</v>
      </c>
      <c r="K185" s="3" t="s">
        <v>83</v>
      </c>
    </row>
    <row r="186" spans="1:11" ht="14.5">
      <c r="A186" s="16" t="s">
        <v>340</v>
      </c>
      <c r="B186" s="4" t="s">
        <v>12</v>
      </c>
      <c r="C186" s="3" t="s">
        <v>13</v>
      </c>
      <c r="D186" s="3" t="s">
        <v>50</v>
      </c>
      <c r="E186" s="4" t="s">
        <v>15</v>
      </c>
      <c r="F186" s="3" t="s">
        <v>55</v>
      </c>
      <c r="G186" s="3">
        <v>4</v>
      </c>
      <c r="H186" s="3">
        <v>192.96</v>
      </c>
      <c r="I186" s="3" t="s">
        <v>341</v>
      </c>
      <c r="J186" s="3" t="s">
        <v>18</v>
      </c>
      <c r="K186" s="3" t="s">
        <v>52</v>
      </c>
    </row>
    <row r="187" spans="1:11" ht="14.5">
      <c r="A187" s="16" t="s">
        <v>308</v>
      </c>
      <c r="B187" s="4" t="s">
        <v>12</v>
      </c>
      <c r="C187" s="3" t="s">
        <v>22</v>
      </c>
      <c r="D187" s="3" t="s">
        <v>29</v>
      </c>
      <c r="E187" s="4" t="s">
        <v>43</v>
      </c>
      <c r="F187" s="3" t="s">
        <v>16</v>
      </c>
      <c r="G187" s="3">
        <v>10</v>
      </c>
      <c r="H187" s="3">
        <v>37.409999999999997</v>
      </c>
      <c r="I187" s="3" t="s">
        <v>342</v>
      </c>
      <c r="J187" s="3" t="s">
        <v>32</v>
      </c>
      <c r="K187" s="3" t="s">
        <v>40</v>
      </c>
    </row>
    <row r="188" spans="1:11" ht="14.5">
      <c r="A188" s="16" t="s">
        <v>343</v>
      </c>
      <c r="B188" s="3" t="s">
        <v>54</v>
      </c>
      <c r="C188" s="3" t="s">
        <v>28</v>
      </c>
      <c r="D188" s="3" t="s">
        <v>50</v>
      </c>
      <c r="E188" s="4" t="s">
        <v>43</v>
      </c>
      <c r="F188" s="3" t="s">
        <v>101</v>
      </c>
      <c r="G188" s="3">
        <v>2</v>
      </c>
      <c r="H188" s="3">
        <v>277.47000000000003</v>
      </c>
      <c r="I188" s="3" t="s">
        <v>160</v>
      </c>
      <c r="J188" s="3" t="s">
        <v>18</v>
      </c>
      <c r="K188" s="3" t="s">
        <v>33</v>
      </c>
    </row>
    <row r="189" spans="1:11" ht="14.5">
      <c r="A189" s="16" t="s">
        <v>81</v>
      </c>
      <c r="B189" s="4" t="s">
        <v>12</v>
      </c>
      <c r="C189" s="3" t="s">
        <v>77</v>
      </c>
      <c r="D189" s="3" t="s">
        <v>23</v>
      </c>
      <c r="F189" s="3" t="s">
        <v>106</v>
      </c>
      <c r="G189" s="3">
        <v>7</v>
      </c>
      <c r="H189" s="3">
        <v>484.71</v>
      </c>
      <c r="I189" s="3" t="s">
        <v>344</v>
      </c>
      <c r="J189" s="3" t="s">
        <v>57</v>
      </c>
      <c r="K189" s="3" t="s">
        <v>52</v>
      </c>
    </row>
    <row r="190" spans="1:11" ht="14.5">
      <c r="A190" s="16" t="s">
        <v>345</v>
      </c>
      <c r="B190" s="4" t="s">
        <v>12</v>
      </c>
      <c r="C190" s="3" t="s">
        <v>13</v>
      </c>
      <c r="D190" s="3" t="s">
        <v>29</v>
      </c>
      <c r="E190" s="4" t="s">
        <v>43</v>
      </c>
      <c r="F190" s="3" t="s">
        <v>183</v>
      </c>
      <c r="G190" s="3">
        <v>7</v>
      </c>
      <c r="H190" s="3">
        <v>114.16</v>
      </c>
      <c r="I190" s="3" t="s">
        <v>291</v>
      </c>
      <c r="J190" s="3" t="s">
        <v>75</v>
      </c>
    </row>
    <row r="191" spans="1:11" ht="14.5">
      <c r="A191" s="16" t="s">
        <v>346</v>
      </c>
      <c r="B191" s="3" t="s">
        <v>54</v>
      </c>
      <c r="C191" s="3" t="s">
        <v>22</v>
      </c>
      <c r="D191" s="3" t="s">
        <v>29</v>
      </c>
      <c r="F191" s="3" t="s">
        <v>55</v>
      </c>
      <c r="G191" s="3">
        <v>7</v>
      </c>
      <c r="H191" s="3">
        <v>359.9</v>
      </c>
      <c r="I191" s="3" t="s">
        <v>331</v>
      </c>
      <c r="K191" s="3" t="s">
        <v>52</v>
      </c>
    </row>
    <row r="192" spans="1:11" ht="14.5">
      <c r="A192" s="16" t="s">
        <v>347</v>
      </c>
      <c r="B192" s="3" t="s">
        <v>54</v>
      </c>
      <c r="C192" s="3" t="s">
        <v>59</v>
      </c>
      <c r="D192" s="3" t="s">
        <v>50</v>
      </c>
      <c r="F192" s="3" t="s">
        <v>78</v>
      </c>
      <c r="G192" s="3">
        <v>12</v>
      </c>
      <c r="H192" s="3">
        <v>306.38</v>
      </c>
      <c r="I192" s="3" t="s">
        <v>164</v>
      </c>
      <c r="J192" s="3" t="s">
        <v>93</v>
      </c>
      <c r="K192" s="3" t="s">
        <v>52</v>
      </c>
    </row>
    <row r="193" spans="1:11" ht="14.5">
      <c r="A193" s="16" t="s">
        <v>308</v>
      </c>
      <c r="B193" s="4" t="s">
        <v>12</v>
      </c>
      <c r="C193" s="3" t="s">
        <v>87</v>
      </c>
      <c r="D193" s="3" t="s">
        <v>23</v>
      </c>
      <c r="E193" s="3" t="s">
        <v>24</v>
      </c>
      <c r="F193" s="3" t="s">
        <v>101</v>
      </c>
      <c r="G193" s="3">
        <v>6</v>
      </c>
      <c r="H193" s="3">
        <v>134.61000000000001</v>
      </c>
      <c r="I193" s="3" t="s">
        <v>74</v>
      </c>
      <c r="J193" s="3" t="s">
        <v>18</v>
      </c>
      <c r="K193" s="3" t="s">
        <v>19</v>
      </c>
    </row>
    <row r="194" spans="1:11" ht="14.5">
      <c r="A194" s="16" t="s">
        <v>348</v>
      </c>
      <c r="C194" s="3" t="s">
        <v>13</v>
      </c>
      <c r="D194" s="3" t="s">
        <v>50</v>
      </c>
      <c r="E194" s="4" t="s">
        <v>15</v>
      </c>
      <c r="F194" s="3" t="s">
        <v>127</v>
      </c>
      <c r="G194" s="3">
        <v>9</v>
      </c>
      <c r="H194" s="3">
        <v>394.73</v>
      </c>
      <c r="I194" s="3" t="s">
        <v>173</v>
      </c>
      <c r="J194" s="3" t="s">
        <v>32</v>
      </c>
      <c r="K194" s="3" t="s">
        <v>80</v>
      </c>
    </row>
    <row r="195" spans="1:11" ht="14.5">
      <c r="A195" s="16" t="s">
        <v>279</v>
      </c>
      <c r="B195" s="3" t="s">
        <v>46</v>
      </c>
      <c r="C195" s="3" t="s">
        <v>42</v>
      </c>
      <c r="D195" s="3" t="s">
        <v>23</v>
      </c>
      <c r="E195" s="4" t="s">
        <v>43</v>
      </c>
      <c r="F195" s="3" t="s">
        <v>67</v>
      </c>
      <c r="G195" s="3">
        <v>20</v>
      </c>
      <c r="H195" s="3">
        <v>274.64999999999998</v>
      </c>
      <c r="I195" s="3" t="s">
        <v>48</v>
      </c>
      <c r="J195" s="3" t="s">
        <v>57</v>
      </c>
      <c r="K195" s="3" t="s">
        <v>52</v>
      </c>
    </row>
    <row r="196" spans="1:11" ht="14.5">
      <c r="A196" s="16" t="s">
        <v>349</v>
      </c>
      <c r="B196" s="3" t="s">
        <v>21</v>
      </c>
      <c r="C196" s="3" t="s">
        <v>22</v>
      </c>
      <c r="D196" s="3" t="s">
        <v>50</v>
      </c>
      <c r="F196" s="3" t="s">
        <v>127</v>
      </c>
      <c r="G196" s="3">
        <v>1</v>
      </c>
      <c r="H196" s="3">
        <v>98.11</v>
      </c>
      <c r="I196" s="3" t="s">
        <v>211</v>
      </c>
      <c r="J196" s="3" t="s">
        <v>75</v>
      </c>
      <c r="K196" s="3" t="s">
        <v>80</v>
      </c>
    </row>
    <row r="197" spans="1:11" ht="14.5">
      <c r="A197" s="16" t="s">
        <v>161</v>
      </c>
      <c r="B197" s="3" t="s">
        <v>54</v>
      </c>
      <c r="C197" s="3" t="s">
        <v>22</v>
      </c>
      <c r="D197" s="3" t="s">
        <v>14</v>
      </c>
      <c r="E197" s="4" t="s">
        <v>43</v>
      </c>
      <c r="F197" s="3" t="s">
        <v>88</v>
      </c>
      <c r="G197" s="3">
        <v>19</v>
      </c>
      <c r="H197" s="3">
        <v>101.25</v>
      </c>
      <c r="I197" s="3" t="s">
        <v>44</v>
      </c>
      <c r="K197" s="3" t="s">
        <v>52</v>
      </c>
    </row>
    <row r="198" spans="1:11" ht="14.5">
      <c r="A198" s="16" t="s">
        <v>350</v>
      </c>
      <c r="C198" s="3" t="s">
        <v>28</v>
      </c>
      <c r="D198" s="3" t="s">
        <v>36</v>
      </c>
      <c r="E198" s="4" t="s">
        <v>15</v>
      </c>
      <c r="F198" s="3" t="s">
        <v>101</v>
      </c>
      <c r="G198" s="3">
        <v>16</v>
      </c>
      <c r="H198" s="3">
        <v>497.64</v>
      </c>
      <c r="I198" s="3" t="s">
        <v>351</v>
      </c>
      <c r="J198" s="3" t="s">
        <v>32</v>
      </c>
      <c r="K198" s="3" t="s">
        <v>52</v>
      </c>
    </row>
    <row r="199" spans="1:11" ht="14.5">
      <c r="A199" s="16" t="s">
        <v>352</v>
      </c>
      <c r="B199" s="3" t="s">
        <v>54</v>
      </c>
      <c r="C199" s="3" t="s">
        <v>42</v>
      </c>
      <c r="D199" s="3" t="s">
        <v>29</v>
      </c>
      <c r="E199" s="3" t="s">
        <v>70</v>
      </c>
      <c r="F199" s="3" t="s">
        <v>71</v>
      </c>
      <c r="G199" s="3">
        <v>20</v>
      </c>
      <c r="H199" s="3">
        <v>199.03</v>
      </c>
      <c r="I199" s="3" t="s">
        <v>353</v>
      </c>
      <c r="J199" s="3" t="s">
        <v>57</v>
      </c>
      <c r="K199" s="3" t="s">
        <v>52</v>
      </c>
    </row>
    <row r="200" spans="1:11" ht="14.5">
      <c r="A200" s="16" t="s">
        <v>354</v>
      </c>
      <c r="C200" s="3" t="s">
        <v>77</v>
      </c>
      <c r="D200" s="3" t="s">
        <v>47</v>
      </c>
      <c r="E200" s="3" t="s">
        <v>24</v>
      </c>
      <c r="F200" s="3" t="s">
        <v>88</v>
      </c>
      <c r="G200" s="3">
        <v>2</v>
      </c>
      <c r="H200" s="3">
        <v>448.02</v>
      </c>
      <c r="I200" s="3" t="s">
        <v>255</v>
      </c>
      <c r="J200" s="3" t="s">
        <v>32</v>
      </c>
      <c r="K200" s="3" t="s">
        <v>33</v>
      </c>
    </row>
    <row r="201" spans="1:11" ht="14.5">
      <c r="A201" s="16" t="s">
        <v>355</v>
      </c>
      <c r="B201" s="3" t="s">
        <v>146</v>
      </c>
      <c r="C201" s="3" t="s">
        <v>13</v>
      </c>
      <c r="D201" s="3" t="s">
        <v>14</v>
      </c>
      <c r="E201" s="4" t="s">
        <v>37</v>
      </c>
      <c r="F201" s="3" t="s">
        <v>16</v>
      </c>
      <c r="G201" s="3">
        <v>1</v>
      </c>
      <c r="H201" s="3">
        <v>117.84</v>
      </c>
      <c r="I201" s="3" t="s">
        <v>224</v>
      </c>
      <c r="J201" s="3" t="s">
        <v>65</v>
      </c>
      <c r="K201" s="3" t="s">
        <v>33</v>
      </c>
    </row>
    <row r="202" spans="1:11" ht="14.5">
      <c r="A202" s="16" t="s">
        <v>66</v>
      </c>
      <c r="B202" s="3" t="s">
        <v>46</v>
      </c>
      <c r="C202" s="3" t="s">
        <v>87</v>
      </c>
      <c r="D202" s="3" t="s">
        <v>47</v>
      </c>
      <c r="E202" s="4" t="s">
        <v>15</v>
      </c>
      <c r="F202" s="3" t="s">
        <v>63</v>
      </c>
      <c r="G202" s="3">
        <v>1</v>
      </c>
      <c r="H202" s="3">
        <v>426.88</v>
      </c>
      <c r="I202" s="3" t="s">
        <v>356</v>
      </c>
      <c r="K202" s="3" t="s">
        <v>33</v>
      </c>
    </row>
    <row r="203" spans="1:11" ht="14.5">
      <c r="A203" s="16" t="s">
        <v>260</v>
      </c>
      <c r="B203" s="3" t="s">
        <v>146</v>
      </c>
      <c r="C203" s="3" t="s">
        <v>22</v>
      </c>
      <c r="D203" s="3" t="s">
        <v>47</v>
      </c>
      <c r="E203" s="3" t="s">
        <v>24</v>
      </c>
      <c r="F203" s="3" t="s">
        <v>71</v>
      </c>
      <c r="G203" s="3">
        <v>13</v>
      </c>
      <c r="H203" s="3">
        <v>382.9</v>
      </c>
      <c r="I203" s="3" t="s">
        <v>295</v>
      </c>
      <c r="J203" s="3" t="s">
        <v>57</v>
      </c>
      <c r="K203" s="3" t="s">
        <v>33</v>
      </c>
    </row>
    <row r="204" spans="1:11" ht="14.5">
      <c r="A204" s="16" t="s">
        <v>234</v>
      </c>
      <c r="C204" s="3" t="s">
        <v>28</v>
      </c>
      <c r="D204" s="3" t="s">
        <v>50</v>
      </c>
      <c r="E204" s="3" t="s">
        <v>24</v>
      </c>
      <c r="F204" s="4" t="s">
        <v>91</v>
      </c>
      <c r="G204" s="3">
        <v>7</v>
      </c>
      <c r="H204" s="3">
        <v>291.98</v>
      </c>
      <c r="I204" s="3" t="s">
        <v>123</v>
      </c>
      <c r="K204" s="3" t="s">
        <v>52</v>
      </c>
    </row>
    <row r="205" spans="1:11" ht="14.5">
      <c r="A205" s="16" t="s">
        <v>357</v>
      </c>
      <c r="B205" s="3" t="s">
        <v>54</v>
      </c>
      <c r="C205" s="3" t="s">
        <v>28</v>
      </c>
      <c r="D205" s="3" t="s">
        <v>50</v>
      </c>
      <c r="E205" s="4" t="s">
        <v>43</v>
      </c>
      <c r="F205" s="3" t="s">
        <v>30</v>
      </c>
      <c r="G205" s="3">
        <v>20</v>
      </c>
      <c r="H205" s="3">
        <v>10.88</v>
      </c>
      <c r="I205" s="3" t="s">
        <v>315</v>
      </c>
      <c r="K205" s="3" t="s">
        <v>83</v>
      </c>
    </row>
    <row r="206" spans="1:11" ht="14.5">
      <c r="A206" s="16" t="s">
        <v>76</v>
      </c>
      <c r="B206" s="4" t="s">
        <v>12</v>
      </c>
      <c r="C206" s="3" t="s">
        <v>77</v>
      </c>
      <c r="D206" s="3" t="s">
        <v>36</v>
      </c>
      <c r="E206" s="4" t="s">
        <v>37</v>
      </c>
      <c r="F206" s="3" t="s">
        <v>78</v>
      </c>
      <c r="G206" s="3">
        <v>12</v>
      </c>
      <c r="H206" s="3">
        <v>188.26</v>
      </c>
      <c r="I206" s="3" t="s">
        <v>79</v>
      </c>
      <c r="J206" s="3" t="s">
        <v>32</v>
      </c>
      <c r="K206" s="3" t="s">
        <v>80</v>
      </c>
    </row>
    <row r="207" spans="1:11" ht="14.5">
      <c r="A207" s="16" t="s">
        <v>244</v>
      </c>
      <c r="B207" s="3" t="s">
        <v>21</v>
      </c>
      <c r="C207" s="3" t="s">
        <v>42</v>
      </c>
      <c r="D207" s="3" t="s">
        <v>23</v>
      </c>
      <c r="E207" s="4" t="s">
        <v>43</v>
      </c>
      <c r="F207" s="3" t="s">
        <v>117</v>
      </c>
      <c r="G207" s="3">
        <v>8</v>
      </c>
      <c r="H207" s="3">
        <v>114.13</v>
      </c>
      <c r="I207" s="3" t="s">
        <v>358</v>
      </c>
      <c r="J207" s="3" t="s">
        <v>18</v>
      </c>
      <c r="K207" s="3" t="s">
        <v>40</v>
      </c>
    </row>
    <row r="208" spans="1:11" ht="14.5">
      <c r="A208" s="16" t="s">
        <v>359</v>
      </c>
      <c r="B208" s="3" t="s">
        <v>21</v>
      </c>
      <c r="C208" s="3" t="s">
        <v>22</v>
      </c>
      <c r="D208" s="3" t="s">
        <v>50</v>
      </c>
      <c r="E208" s="4" t="s">
        <v>43</v>
      </c>
      <c r="F208" s="3" t="s">
        <v>38</v>
      </c>
      <c r="G208" s="3">
        <v>16</v>
      </c>
      <c r="H208" s="3">
        <v>155.27000000000001</v>
      </c>
      <c r="I208" s="3" t="s">
        <v>360</v>
      </c>
      <c r="J208" s="3" t="s">
        <v>75</v>
      </c>
      <c r="K208" s="3" t="s">
        <v>40</v>
      </c>
    </row>
    <row r="209" spans="1:11" ht="14.5">
      <c r="A209" s="16" t="s">
        <v>361</v>
      </c>
      <c r="B209" s="4" t="s">
        <v>12</v>
      </c>
      <c r="C209" s="3" t="s">
        <v>22</v>
      </c>
      <c r="D209" s="3" t="s">
        <v>50</v>
      </c>
      <c r="F209" s="3" t="s">
        <v>30</v>
      </c>
      <c r="G209" s="3">
        <v>11</v>
      </c>
      <c r="H209" s="3">
        <v>138.11000000000001</v>
      </c>
      <c r="I209" s="3" t="s">
        <v>328</v>
      </c>
      <c r="J209" s="3" t="s">
        <v>32</v>
      </c>
    </row>
    <row r="210" spans="1:11" ht="14.5">
      <c r="A210" s="16" t="s">
        <v>362</v>
      </c>
      <c r="B210" s="3" t="s">
        <v>146</v>
      </c>
      <c r="C210" s="3" t="s">
        <v>13</v>
      </c>
      <c r="D210" s="3" t="s">
        <v>14</v>
      </c>
      <c r="E210" s="3" t="s">
        <v>70</v>
      </c>
      <c r="F210" s="3" t="s">
        <v>25</v>
      </c>
      <c r="G210" s="3">
        <v>15</v>
      </c>
      <c r="H210" s="3">
        <v>337.18</v>
      </c>
      <c r="I210" s="3" t="s">
        <v>202</v>
      </c>
      <c r="K210" s="3" t="s">
        <v>52</v>
      </c>
    </row>
    <row r="211" spans="1:11" ht="14.5">
      <c r="A211" s="16" t="s">
        <v>363</v>
      </c>
      <c r="B211" s="3" t="s">
        <v>21</v>
      </c>
      <c r="C211" s="3" t="s">
        <v>28</v>
      </c>
      <c r="D211" s="3" t="s">
        <v>36</v>
      </c>
      <c r="E211" s="4" t="s">
        <v>37</v>
      </c>
      <c r="F211" s="3" t="s">
        <v>169</v>
      </c>
      <c r="G211" s="3">
        <v>6</v>
      </c>
      <c r="H211" s="3">
        <v>408.33</v>
      </c>
      <c r="I211" s="3" t="s">
        <v>364</v>
      </c>
      <c r="J211" s="3" t="s">
        <v>18</v>
      </c>
      <c r="K211" s="3" t="s">
        <v>80</v>
      </c>
    </row>
    <row r="212" spans="1:11" ht="14.5">
      <c r="A212" s="16" t="s">
        <v>206</v>
      </c>
      <c r="B212" s="3" t="s">
        <v>46</v>
      </c>
      <c r="C212" s="3" t="s">
        <v>42</v>
      </c>
      <c r="D212" s="3" t="s">
        <v>47</v>
      </c>
      <c r="E212" s="4" t="s">
        <v>43</v>
      </c>
      <c r="F212" s="3" t="s">
        <v>273</v>
      </c>
      <c r="G212" s="3">
        <v>12</v>
      </c>
      <c r="H212" s="3">
        <v>82.93</v>
      </c>
      <c r="I212" s="3" t="s">
        <v>197</v>
      </c>
      <c r="J212" s="3" t="s">
        <v>18</v>
      </c>
      <c r="K212" s="3" t="s">
        <v>83</v>
      </c>
    </row>
    <row r="213" spans="1:11" ht="14.5">
      <c r="A213" s="16" t="s">
        <v>124</v>
      </c>
      <c r="B213" s="3" t="s">
        <v>21</v>
      </c>
      <c r="C213" s="3" t="s">
        <v>87</v>
      </c>
      <c r="D213" s="3" t="s">
        <v>47</v>
      </c>
      <c r="E213" s="4" t="s">
        <v>15</v>
      </c>
      <c r="F213" s="3" t="s">
        <v>55</v>
      </c>
      <c r="G213" s="3">
        <v>5</v>
      </c>
      <c r="H213" s="3">
        <v>112.67</v>
      </c>
      <c r="I213" s="3" t="s">
        <v>173</v>
      </c>
      <c r="J213" s="3" t="s">
        <v>18</v>
      </c>
    </row>
    <row r="214" spans="1:11" ht="14.5">
      <c r="A214" s="16" t="s">
        <v>260</v>
      </c>
      <c r="B214" s="3" t="s">
        <v>46</v>
      </c>
      <c r="C214" s="3" t="s">
        <v>22</v>
      </c>
      <c r="D214" s="3" t="s">
        <v>23</v>
      </c>
      <c r="E214" s="4" t="s">
        <v>37</v>
      </c>
      <c r="F214" s="3" t="s">
        <v>183</v>
      </c>
      <c r="G214" s="3">
        <v>11</v>
      </c>
      <c r="H214" s="3">
        <v>403.34</v>
      </c>
      <c r="I214" s="3" t="s">
        <v>179</v>
      </c>
      <c r="J214" s="3" t="s">
        <v>32</v>
      </c>
      <c r="K214" s="3" t="s">
        <v>80</v>
      </c>
    </row>
    <row r="215" spans="1:11" ht="14.5">
      <c r="A215" s="16" t="s">
        <v>338</v>
      </c>
      <c r="B215" s="3" t="s">
        <v>146</v>
      </c>
      <c r="C215" s="3" t="s">
        <v>77</v>
      </c>
      <c r="D215" s="3" t="s">
        <v>29</v>
      </c>
      <c r="E215" s="4" t="s">
        <v>37</v>
      </c>
      <c r="F215" s="3" t="s">
        <v>63</v>
      </c>
      <c r="G215" s="3">
        <v>18</v>
      </c>
      <c r="H215" s="3">
        <v>52</v>
      </c>
      <c r="I215" s="3" t="s">
        <v>149</v>
      </c>
      <c r="J215" s="3" t="s">
        <v>75</v>
      </c>
      <c r="K215" s="3" t="s">
        <v>83</v>
      </c>
    </row>
    <row r="216" spans="1:11" ht="14.5">
      <c r="A216" s="16" t="s">
        <v>365</v>
      </c>
      <c r="B216" s="3" t="s">
        <v>21</v>
      </c>
      <c r="C216" s="3" t="s">
        <v>77</v>
      </c>
      <c r="D216" s="3" t="s">
        <v>50</v>
      </c>
      <c r="E216" s="4" t="s">
        <v>15</v>
      </c>
      <c r="F216" s="3" t="s">
        <v>112</v>
      </c>
      <c r="G216" s="3">
        <v>14</v>
      </c>
      <c r="H216" s="3">
        <v>147.44999999999999</v>
      </c>
      <c r="I216" s="3" t="s">
        <v>366</v>
      </c>
      <c r="J216" s="3" t="s">
        <v>32</v>
      </c>
    </row>
    <row r="217" spans="1:11" ht="14.5">
      <c r="A217" s="16" t="s">
        <v>120</v>
      </c>
      <c r="B217" s="4" t="s">
        <v>12</v>
      </c>
      <c r="C217" s="3" t="s">
        <v>59</v>
      </c>
      <c r="D217" s="3" t="s">
        <v>36</v>
      </c>
      <c r="E217" s="4" t="s">
        <v>37</v>
      </c>
      <c r="F217" s="3" t="s">
        <v>67</v>
      </c>
      <c r="G217" s="3">
        <v>14</v>
      </c>
      <c r="H217" s="3">
        <v>200.49</v>
      </c>
      <c r="I217" s="3" t="s">
        <v>235</v>
      </c>
      <c r="J217" s="3" t="s">
        <v>93</v>
      </c>
      <c r="K217" s="3" t="s">
        <v>33</v>
      </c>
    </row>
    <row r="218" spans="1:11" ht="14.5">
      <c r="A218" s="16" t="s">
        <v>367</v>
      </c>
      <c r="B218" s="4" t="s">
        <v>12</v>
      </c>
      <c r="C218" s="3" t="s">
        <v>28</v>
      </c>
      <c r="D218" s="3" t="s">
        <v>36</v>
      </c>
      <c r="E218" s="4" t="s">
        <v>43</v>
      </c>
      <c r="F218" s="3" t="s">
        <v>127</v>
      </c>
      <c r="G218" s="3">
        <v>11</v>
      </c>
      <c r="H218" s="3">
        <v>228.18</v>
      </c>
      <c r="I218" s="3" t="s">
        <v>368</v>
      </c>
      <c r="J218" s="3" t="s">
        <v>32</v>
      </c>
      <c r="K218" s="3" t="s">
        <v>83</v>
      </c>
    </row>
    <row r="219" spans="1:11" ht="14.5">
      <c r="A219" s="16" t="s">
        <v>369</v>
      </c>
      <c r="B219" s="3" t="s">
        <v>146</v>
      </c>
      <c r="C219" s="3" t="s">
        <v>13</v>
      </c>
      <c r="D219" s="3" t="s">
        <v>36</v>
      </c>
      <c r="E219" s="3" t="s">
        <v>70</v>
      </c>
      <c r="F219" s="3" t="s">
        <v>106</v>
      </c>
      <c r="G219" s="3">
        <v>12</v>
      </c>
      <c r="H219" s="3">
        <v>482.25</v>
      </c>
      <c r="I219" s="3" t="s">
        <v>92</v>
      </c>
      <c r="K219" s="3" t="s">
        <v>33</v>
      </c>
    </row>
    <row r="220" spans="1:11" ht="14.5">
      <c r="A220" s="16" t="s">
        <v>41</v>
      </c>
      <c r="B220" s="3" t="s">
        <v>54</v>
      </c>
      <c r="C220" s="3" t="s">
        <v>77</v>
      </c>
      <c r="D220" s="3" t="s">
        <v>36</v>
      </c>
      <c r="E220" s="3" t="s">
        <v>70</v>
      </c>
      <c r="F220" s="3" t="s">
        <v>169</v>
      </c>
      <c r="G220" s="3">
        <v>19</v>
      </c>
      <c r="H220" s="3">
        <v>496.75</v>
      </c>
      <c r="I220" s="3" t="s">
        <v>226</v>
      </c>
      <c r="J220" s="3" t="s">
        <v>65</v>
      </c>
      <c r="K220" s="3" t="s">
        <v>80</v>
      </c>
    </row>
    <row r="221" spans="1:11" ht="14.5">
      <c r="A221" s="16" t="s">
        <v>165</v>
      </c>
      <c r="B221" s="4" t="s">
        <v>12</v>
      </c>
      <c r="C221" s="3" t="s">
        <v>62</v>
      </c>
      <c r="D221" s="3" t="s">
        <v>50</v>
      </c>
      <c r="E221" s="3" t="s">
        <v>24</v>
      </c>
      <c r="F221" s="3" t="s">
        <v>106</v>
      </c>
      <c r="G221" s="3">
        <v>17</v>
      </c>
      <c r="H221" s="3">
        <v>75.319999999999993</v>
      </c>
      <c r="I221" s="3" t="s">
        <v>224</v>
      </c>
      <c r="J221" s="3" t="s">
        <v>18</v>
      </c>
      <c r="K221" s="3" t="s">
        <v>80</v>
      </c>
    </row>
    <row r="222" spans="1:11" ht="14.5">
      <c r="A222" s="16" t="s">
        <v>370</v>
      </c>
      <c r="B222" s="3" t="s">
        <v>35</v>
      </c>
      <c r="C222" s="3" t="s">
        <v>77</v>
      </c>
      <c r="D222" s="3" t="s">
        <v>36</v>
      </c>
      <c r="F222" s="3" t="s">
        <v>38</v>
      </c>
      <c r="G222" s="3">
        <v>3</v>
      </c>
      <c r="H222" s="3">
        <v>443.34</v>
      </c>
      <c r="I222" s="3" t="s">
        <v>371</v>
      </c>
      <c r="J222" s="3" t="s">
        <v>18</v>
      </c>
    </row>
    <row r="223" spans="1:11" ht="14.5">
      <c r="A223" s="16" t="s">
        <v>372</v>
      </c>
      <c r="B223" s="3" t="s">
        <v>21</v>
      </c>
      <c r="C223" s="3" t="s">
        <v>22</v>
      </c>
      <c r="D223" s="3" t="s">
        <v>50</v>
      </c>
      <c r="E223" s="4" t="s">
        <v>15</v>
      </c>
      <c r="F223" s="3" t="s">
        <v>127</v>
      </c>
      <c r="G223" s="3">
        <v>20</v>
      </c>
      <c r="H223" s="3">
        <v>107.54</v>
      </c>
      <c r="I223" s="3" t="s">
        <v>353</v>
      </c>
      <c r="J223" s="3" t="s">
        <v>18</v>
      </c>
      <c r="K223" s="3" t="s">
        <v>33</v>
      </c>
    </row>
    <row r="224" spans="1:11" ht="14.5">
      <c r="A224" s="16" t="s">
        <v>373</v>
      </c>
      <c r="B224" s="3" t="s">
        <v>54</v>
      </c>
      <c r="C224" s="3" t="s">
        <v>28</v>
      </c>
      <c r="D224" s="3" t="s">
        <v>36</v>
      </c>
      <c r="E224" s="3" t="s">
        <v>24</v>
      </c>
      <c r="F224" s="3" t="s">
        <v>101</v>
      </c>
      <c r="G224" s="3">
        <v>13</v>
      </c>
      <c r="H224" s="3">
        <v>449.55</v>
      </c>
      <c r="I224" s="3" t="s">
        <v>374</v>
      </c>
      <c r="J224" s="3" t="s">
        <v>18</v>
      </c>
      <c r="K224" s="3" t="s">
        <v>33</v>
      </c>
    </row>
    <row r="225" spans="1:11" ht="14.5">
      <c r="A225" s="16" t="s">
        <v>375</v>
      </c>
      <c r="B225" s="3" t="s">
        <v>35</v>
      </c>
      <c r="C225" s="3" t="s">
        <v>28</v>
      </c>
      <c r="D225" s="3" t="s">
        <v>29</v>
      </c>
      <c r="E225" s="4" t="s">
        <v>43</v>
      </c>
      <c r="F225" s="4" t="s">
        <v>91</v>
      </c>
      <c r="G225" s="3">
        <v>5</v>
      </c>
      <c r="H225" s="3">
        <v>392.78</v>
      </c>
      <c r="I225" s="3" t="s">
        <v>56</v>
      </c>
      <c r="J225" s="3" t="s">
        <v>75</v>
      </c>
    </row>
    <row r="226" spans="1:11" ht="14.5">
      <c r="A226" s="16" t="s">
        <v>376</v>
      </c>
      <c r="B226" s="4" t="s">
        <v>12</v>
      </c>
      <c r="C226" s="3" t="s">
        <v>87</v>
      </c>
      <c r="D226" s="3" t="s">
        <v>14</v>
      </c>
      <c r="E226" s="4" t="s">
        <v>15</v>
      </c>
      <c r="F226" s="3" t="s">
        <v>71</v>
      </c>
      <c r="G226" s="3">
        <v>1</v>
      </c>
      <c r="H226" s="3">
        <v>145.78</v>
      </c>
      <c r="I226" s="3" t="s">
        <v>328</v>
      </c>
      <c r="J226" s="3" t="s">
        <v>57</v>
      </c>
      <c r="K226" s="3" t="s">
        <v>19</v>
      </c>
    </row>
    <row r="227" spans="1:11" ht="14.5">
      <c r="A227" s="16" t="s">
        <v>377</v>
      </c>
      <c r="B227" s="3" t="s">
        <v>21</v>
      </c>
      <c r="C227" s="3" t="s">
        <v>22</v>
      </c>
      <c r="D227" s="3" t="s">
        <v>29</v>
      </c>
      <c r="E227" s="3" t="s">
        <v>70</v>
      </c>
      <c r="F227" s="3" t="s">
        <v>273</v>
      </c>
      <c r="G227" s="3">
        <v>12</v>
      </c>
      <c r="H227" s="3">
        <v>127.4</v>
      </c>
      <c r="I227" s="3" t="s">
        <v>378</v>
      </c>
      <c r="J227" s="3" t="s">
        <v>93</v>
      </c>
      <c r="K227" s="3" t="s">
        <v>80</v>
      </c>
    </row>
    <row r="228" spans="1:11" ht="14.5">
      <c r="A228" s="16" t="s">
        <v>171</v>
      </c>
      <c r="B228" s="3" t="s">
        <v>35</v>
      </c>
      <c r="C228" s="3" t="s">
        <v>62</v>
      </c>
      <c r="D228" s="3" t="s">
        <v>50</v>
      </c>
      <c r="E228" s="4" t="s">
        <v>43</v>
      </c>
      <c r="F228" s="3" t="s">
        <v>30</v>
      </c>
      <c r="G228" s="3">
        <v>15</v>
      </c>
      <c r="H228" s="3">
        <v>360.16</v>
      </c>
      <c r="I228" s="3" t="s">
        <v>172</v>
      </c>
      <c r="J228" s="3" t="s">
        <v>75</v>
      </c>
      <c r="K228" s="3" t="s">
        <v>40</v>
      </c>
    </row>
    <row r="229" spans="1:11" ht="14.5">
      <c r="A229" s="16" t="s">
        <v>379</v>
      </c>
      <c r="B229" s="3" t="s">
        <v>21</v>
      </c>
      <c r="C229" s="3" t="s">
        <v>77</v>
      </c>
      <c r="D229" s="3" t="s">
        <v>50</v>
      </c>
      <c r="E229" s="3" t="s">
        <v>24</v>
      </c>
      <c r="F229" s="3" t="s">
        <v>78</v>
      </c>
      <c r="G229" s="3">
        <v>8</v>
      </c>
      <c r="H229" s="3">
        <v>43.59</v>
      </c>
      <c r="I229" s="3" t="s">
        <v>366</v>
      </c>
      <c r="K229" s="3" t="s">
        <v>40</v>
      </c>
    </row>
    <row r="230" spans="1:11" ht="14.5">
      <c r="A230" s="16" t="s">
        <v>380</v>
      </c>
      <c r="B230" s="3" t="s">
        <v>54</v>
      </c>
      <c r="C230" s="3" t="s">
        <v>28</v>
      </c>
      <c r="D230" s="3" t="s">
        <v>23</v>
      </c>
      <c r="E230" s="4" t="s">
        <v>43</v>
      </c>
      <c r="F230" s="3" t="s">
        <v>67</v>
      </c>
      <c r="G230" s="3">
        <v>5</v>
      </c>
      <c r="H230" s="3">
        <v>75.900000000000006</v>
      </c>
      <c r="I230" s="3" t="s">
        <v>337</v>
      </c>
      <c r="J230" s="3" t="s">
        <v>18</v>
      </c>
      <c r="K230" s="3" t="s">
        <v>33</v>
      </c>
    </row>
    <row r="231" spans="1:11" ht="14.5">
      <c r="A231" s="16" t="s">
        <v>381</v>
      </c>
      <c r="B231" s="3" t="s">
        <v>46</v>
      </c>
      <c r="C231" s="3" t="s">
        <v>59</v>
      </c>
      <c r="D231" s="3" t="s">
        <v>47</v>
      </c>
      <c r="E231" s="3" t="s">
        <v>24</v>
      </c>
      <c r="F231" s="4" t="s">
        <v>91</v>
      </c>
      <c r="G231" s="3">
        <v>17</v>
      </c>
      <c r="H231" s="3">
        <v>113.09</v>
      </c>
      <c r="I231" s="3" t="s">
        <v>382</v>
      </c>
      <c r="J231" s="3" t="s">
        <v>32</v>
      </c>
    </row>
    <row r="232" spans="1:11" ht="14.5">
      <c r="A232" s="16" t="s">
        <v>135</v>
      </c>
      <c r="C232" s="3" t="s">
        <v>28</v>
      </c>
      <c r="D232" s="3" t="s">
        <v>36</v>
      </c>
      <c r="E232" s="3" t="s">
        <v>70</v>
      </c>
      <c r="F232" s="3" t="s">
        <v>71</v>
      </c>
      <c r="G232" s="3">
        <v>9</v>
      </c>
      <c r="H232" s="3">
        <v>455.07</v>
      </c>
      <c r="I232" s="3" t="s">
        <v>136</v>
      </c>
      <c r="J232" s="3" t="s">
        <v>65</v>
      </c>
      <c r="K232" s="3" t="s">
        <v>80</v>
      </c>
    </row>
    <row r="233" spans="1:11" ht="14.5">
      <c r="A233" s="16" t="s">
        <v>383</v>
      </c>
      <c r="B233" s="3" t="s">
        <v>46</v>
      </c>
      <c r="C233" s="3" t="s">
        <v>62</v>
      </c>
      <c r="D233" s="3" t="s">
        <v>29</v>
      </c>
      <c r="E233" s="3" t="s">
        <v>70</v>
      </c>
      <c r="F233" s="3" t="s">
        <v>101</v>
      </c>
      <c r="G233" s="3">
        <v>20</v>
      </c>
      <c r="H233" s="3">
        <v>467.28</v>
      </c>
      <c r="I233" s="3" t="s">
        <v>134</v>
      </c>
      <c r="J233" s="3" t="s">
        <v>32</v>
      </c>
    </row>
    <row r="234" spans="1:11" ht="14.5">
      <c r="A234" s="16" t="s">
        <v>384</v>
      </c>
      <c r="B234" s="3" t="s">
        <v>54</v>
      </c>
      <c r="C234" s="3" t="s">
        <v>13</v>
      </c>
      <c r="D234" s="3" t="s">
        <v>47</v>
      </c>
      <c r="E234" s="3" t="s">
        <v>24</v>
      </c>
      <c r="F234" s="3" t="s">
        <v>101</v>
      </c>
      <c r="G234" s="3">
        <v>14</v>
      </c>
      <c r="H234" s="3">
        <v>49.37</v>
      </c>
      <c r="I234" s="3" t="s">
        <v>130</v>
      </c>
      <c r="J234" s="3" t="s">
        <v>18</v>
      </c>
      <c r="K234" s="3" t="s">
        <v>52</v>
      </c>
    </row>
    <row r="235" spans="1:11" ht="14.5">
      <c r="A235" s="16" t="s">
        <v>385</v>
      </c>
      <c r="B235" s="4" t="s">
        <v>12</v>
      </c>
      <c r="C235" s="3" t="s">
        <v>22</v>
      </c>
      <c r="D235" s="3" t="s">
        <v>29</v>
      </c>
      <c r="E235" s="4" t="s">
        <v>37</v>
      </c>
      <c r="F235" s="3" t="s">
        <v>213</v>
      </c>
      <c r="G235" s="3">
        <v>17</v>
      </c>
      <c r="H235" s="3">
        <v>9.4</v>
      </c>
      <c r="I235" s="3" t="s">
        <v>331</v>
      </c>
      <c r="J235" s="3" t="s">
        <v>32</v>
      </c>
      <c r="K235" s="3" t="s">
        <v>33</v>
      </c>
    </row>
    <row r="236" spans="1:11" ht="14.5">
      <c r="A236" s="16" t="s">
        <v>180</v>
      </c>
      <c r="B236" s="3" t="s">
        <v>21</v>
      </c>
      <c r="C236" s="3" t="s">
        <v>22</v>
      </c>
      <c r="D236" s="3" t="s">
        <v>23</v>
      </c>
      <c r="E236" s="3" t="s">
        <v>70</v>
      </c>
      <c r="F236" s="3" t="s">
        <v>63</v>
      </c>
      <c r="G236" s="3">
        <v>19</v>
      </c>
      <c r="H236" s="3">
        <v>8.3699999999999992</v>
      </c>
      <c r="I236" s="3" t="s">
        <v>339</v>
      </c>
      <c r="J236" s="3" t="s">
        <v>18</v>
      </c>
      <c r="K236" s="3" t="s">
        <v>19</v>
      </c>
    </row>
    <row r="237" spans="1:11" ht="14.5">
      <c r="A237" s="16" t="s">
        <v>386</v>
      </c>
      <c r="B237" s="4" t="s">
        <v>12</v>
      </c>
      <c r="C237" s="3" t="s">
        <v>59</v>
      </c>
      <c r="D237" s="3" t="s">
        <v>14</v>
      </c>
      <c r="E237" s="4" t="s">
        <v>43</v>
      </c>
      <c r="F237" s="3" t="s">
        <v>55</v>
      </c>
      <c r="G237" s="3">
        <v>8</v>
      </c>
      <c r="H237" s="3">
        <v>88.8</v>
      </c>
      <c r="I237" s="3" t="s">
        <v>287</v>
      </c>
      <c r="J237" s="3" t="s">
        <v>32</v>
      </c>
      <c r="K237" s="3" t="s">
        <v>83</v>
      </c>
    </row>
    <row r="238" spans="1:11" ht="14.5">
      <c r="A238" s="16" t="s">
        <v>387</v>
      </c>
      <c r="B238" s="3" t="s">
        <v>146</v>
      </c>
      <c r="C238" s="3" t="s">
        <v>28</v>
      </c>
      <c r="D238" s="3" t="s">
        <v>36</v>
      </c>
      <c r="E238" s="4" t="s">
        <v>43</v>
      </c>
      <c r="F238" s="3" t="s">
        <v>30</v>
      </c>
      <c r="G238" s="3">
        <v>17</v>
      </c>
      <c r="H238" s="3">
        <v>317.86</v>
      </c>
      <c r="I238" s="3" t="s">
        <v>267</v>
      </c>
      <c r="J238" s="3" t="s">
        <v>65</v>
      </c>
      <c r="K238" s="3" t="s">
        <v>83</v>
      </c>
    </row>
    <row r="239" spans="1:11" ht="14.5">
      <c r="A239" s="16" t="s">
        <v>377</v>
      </c>
      <c r="B239" s="3" t="s">
        <v>146</v>
      </c>
      <c r="C239" s="3" t="s">
        <v>42</v>
      </c>
      <c r="D239" s="3" t="s">
        <v>29</v>
      </c>
      <c r="E239" s="4" t="s">
        <v>37</v>
      </c>
      <c r="F239" s="3" t="s">
        <v>117</v>
      </c>
      <c r="G239" s="3">
        <v>9</v>
      </c>
      <c r="H239" s="3">
        <v>219.68</v>
      </c>
      <c r="I239" s="3" t="s">
        <v>388</v>
      </c>
      <c r="K239" s="3" t="s">
        <v>52</v>
      </c>
    </row>
    <row r="240" spans="1:11" ht="14.5">
      <c r="A240" s="16" t="s">
        <v>259</v>
      </c>
      <c r="B240" s="3" t="s">
        <v>146</v>
      </c>
      <c r="C240" s="3" t="s">
        <v>87</v>
      </c>
      <c r="D240" s="3" t="s">
        <v>29</v>
      </c>
      <c r="E240" s="3" t="s">
        <v>70</v>
      </c>
      <c r="F240" s="3" t="s">
        <v>273</v>
      </c>
      <c r="G240" s="3">
        <v>6</v>
      </c>
      <c r="H240" s="3">
        <v>427.68</v>
      </c>
      <c r="I240" s="3" t="s">
        <v>130</v>
      </c>
      <c r="J240" s="3" t="s">
        <v>57</v>
      </c>
      <c r="K240" s="3" t="s">
        <v>83</v>
      </c>
    </row>
    <row r="241" spans="1:11" ht="14.5">
      <c r="A241" s="16" t="s">
        <v>389</v>
      </c>
      <c r="C241" s="3" t="s">
        <v>28</v>
      </c>
      <c r="D241" s="3" t="s">
        <v>50</v>
      </c>
      <c r="E241" s="4" t="s">
        <v>37</v>
      </c>
      <c r="F241" s="3" t="s">
        <v>78</v>
      </c>
      <c r="G241" s="3">
        <v>1</v>
      </c>
      <c r="H241" s="3">
        <v>287.42</v>
      </c>
      <c r="I241" s="3" t="s">
        <v>342</v>
      </c>
      <c r="J241" s="3" t="s">
        <v>57</v>
      </c>
      <c r="K241" s="3" t="s">
        <v>52</v>
      </c>
    </row>
    <row r="242" spans="1:11" ht="14.5">
      <c r="A242" s="16" t="s">
        <v>390</v>
      </c>
      <c r="B242" s="4" t="s">
        <v>12</v>
      </c>
      <c r="C242" s="3" t="s">
        <v>87</v>
      </c>
      <c r="D242" s="3" t="s">
        <v>14</v>
      </c>
      <c r="E242" s="4" t="s">
        <v>43</v>
      </c>
      <c r="F242" s="3" t="s">
        <v>71</v>
      </c>
      <c r="G242" s="3">
        <v>12</v>
      </c>
      <c r="H242" s="3">
        <v>36.43</v>
      </c>
      <c r="I242" s="3" t="s">
        <v>391</v>
      </c>
      <c r="J242" s="3" t="s">
        <v>32</v>
      </c>
      <c r="K242" s="3" t="s">
        <v>40</v>
      </c>
    </row>
    <row r="243" spans="1:11" ht="14.5">
      <c r="A243" s="16" t="s">
        <v>260</v>
      </c>
      <c r="B243" s="4" t="s">
        <v>12</v>
      </c>
      <c r="C243" s="3" t="s">
        <v>28</v>
      </c>
      <c r="D243" s="3" t="s">
        <v>14</v>
      </c>
      <c r="E243" s="4" t="s">
        <v>15</v>
      </c>
      <c r="F243" s="3" t="s">
        <v>88</v>
      </c>
      <c r="G243" s="3">
        <v>11</v>
      </c>
      <c r="H243" s="3">
        <v>375.25</v>
      </c>
      <c r="I243" s="3" t="s">
        <v>392</v>
      </c>
      <c r="K243" s="3" t="s">
        <v>40</v>
      </c>
    </row>
    <row r="244" spans="1:11" ht="14.5">
      <c r="A244" s="16" t="s">
        <v>393</v>
      </c>
      <c r="B244" s="3" t="s">
        <v>46</v>
      </c>
      <c r="C244" s="3" t="s">
        <v>59</v>
      </c>
      <c r="D244" s="3" t="s">
        <v>29</v>
      </c>
      <c r="E244" s="3" t="s">
        <v>24</v>
      </c>
      <c r="F244" s="3" t="s">
        <v>273</v>
      </c>
      <c r="G244" s="3">
        <v>14</v>
      </c>
      <c r="H244" s="3">
        <v>460.13</v>
      </c>
      <c r="I244" s="3" t="s">
        <v>297</v>
      </c>
      <c r="J244" s="3" t="s">
        <v>65</v>
      </c>
      <c r="K244" s="3" t="s">
        <v>40</v>
      </c>
    </row>
    <row r="245" spans="1:11" ht="14.5">
      <c r="A245" s="16" t="s">
        <v>301</v>
      </c>
      <c r="B245" s="3" t="s">
        <v>146</v>
      </c>
      <c r="C245" s="3" t="s">
        <v>59</v>
      </c>
      <c r="D245" s="3" t="s">
        <v>29</v>
      </c>
      <c r="E245" s="3" t="s">
        <v>70</v>
      </c>
      <c r="F245" s="3" t="s">
        <v>213</v>
      </c>
      <c r="G245" s="3">
        <v>14</v>
      </c>
      <c r="H245" s="3">
        <v>176.93</v>
      </c>
      <c r="I245" s="3" t="s">
        <v>394</v>
      </c>
    </row>
    <row r="246" spans="1:11" ht="14.5">
      <c r="A246" s="16" t="s">
        <v>395</v>
      </c>
      <c r="B246" s="3" t="s">
        <v>35</v>
      </c>
      <c r="C246" s="3" t="s">
        <v>28</v>
      </c>
      <c r="D246" s="3" t="s">
        <v>47</v>
      </c>
      <c r="E246" s="4" t="s">
        <v>15</v>
      </c>
      <c r="F246" s="3" t="s">
        <v>88</v>
      </c>
      <c r="G246" s="3">
        <v>13</v>
      </c>
      <c r="H246" s="3">
        <v>390.54</v>
      </c>
      <c r="I246" s="3" t="s">
        <v>396</v>
      </c>
      <c r="J246" s="3" t="s">
        <v>93</v>
      </c>
      <c r="K246" s="3" t="s">
        <v>19</v>
      </c>
    </row>
    <row r="247" spans="1:11" ht="14.5">
      <c r="A247" s="16" t="s">
        <v>397</v>
      </c>
      <c r="B247" s="4" t="s">
        <v>12</v>
      </c>
      <c r="C247" s="3" t="s">
        <v>42</v>
      </c>
      <c r="D247" s="3" t="s">
        <v>50</v>
      </c>
      <c r="F247" s="3" t="s">
        <v>88</v>
      </c>
      <c r="G247" s="3">
        <v>9</v>
      </c>
      <c r="H247" s="3">
        <v>159.32</v>
      </c>
      <c r="I247" s="3" t="s">
        <v>283</v>
      </c>
      <c r="J247" s="3" t="s">
        <v>32</v>
      </c>
      <c r="K247" s="3" t="s">
        <v>83</v>
      </c>
    </row>
    <row r="248" spans="1:11" ht="14.5">
      <c r="A248" s="16" t="s">
        <v>159</v>
      </c>
      <c r="B248" s="3" t="s">
        <v>54</v>
      </c>
      <c r="C248" s="3" t="s">
        <v>59</v>
      </c>
      <c r="D248" s="3" t="s">
        <v>29</v>
      </c>
      <c r="E248" s="4" t="s">
        <v>37</v>
      </c>
      <c r="F248" s="3" t="s">
        <v>67</v>
      </c>
      <c r="G248" s="3">
        <v>11</v>
      </c>
      <c r="H248" s="3">
        <v>133.29</v>
      </c>
      <c r="I248" s="3" t="s">
        <v>160</v>
      </c>
      <c r="J248" s="3" t="s">
        <v>75</v>
      </c>
      <c r="K248" s="3" t="s">
        <v>19</v>
      </c>
    </row>
    <row r="249" spans="1:11" ht="14.5">
      <c r="A249" s="16" t="s">
        <v>398</v>
      </c>
      <c r="C249" s="3" t="s">
        <v>42</v>
      </c>
      <c r="D249" s="3" t="s">
        <v>47</v>
      </c>
      <c r="E249" s="4" t="s">
        <v>43</v>
      </c>
      <c r="F249" s="3" t="s">
        <v>63</v>
      </c>
      <c r="G249" s="3">
        <v>17</v>
      </c>
      <c r="H249" s="3">
        <v>377.9</v>
      </c>
      <c r="I249" s="3" t="s">
        <v>399</v>
      </c>
      <c r="K249" s="3" t="s">
        <v>33</v>
      </c>
    </row>
    <row r="250" spans="1:11" ht="14.5">
      <c r="A250" s="16" t="s">
        <v>76</v>
      </c>
      <c r="B250" s="3" t="s">
        <v>46</v>
      </c>
      <c r="C250" s="3" t="s">
        <v>87</v>
      </c>
      <c r="D250" s="3" t="s">
        <v>23</v>
      </c>
      <c r="E250" s="4" t="s">
        <v>37</v>
      </c>
      <c r="F250" s="3" t="s">
        <v>78</v>
      </c>
      <c r="G250" s="3">
        <v>15</v>
      </c>
      <c r="H250" s="3">
        <v>131.96</v>
      </c>
      <c r="I250" s="3" t="s">
        <v>400</v>
      </c>
      <c r="K250" s="3" t="s">
        <v>19</v>
      </c>
    </row>
    <row r="251" spans="1:11" ht="14.5">
      <c r="A251" s="16" t="s">
        <v>393</v>
      </c>
      <c r="B251" s="4" t="s">
        <v>12</v>
      </c>
      <c r="C251" s="3" t="s">
        <v>42</v>
      </c>
      <c r="D251" s="3" t="s">
        <v>29</v>
      </c>
      <c r="E251" s="3" t="s">
        <v>70</v>
      </c>
      <c r="F251" s="4" t="s">
        <v>91</v>
      </c>
      <c r="G251" s="3">
        <v>4</v>
      </c>
      <c r="H251" s="3">
        <v>319.23</v>
      </c>
      <c r="I251" s="3" t="s">
        <v>401</v>
      </c>
      <c r="J251" s="3" t="s">
        <v>75</v>
      </c>
      <c r="K251" s="3" t="s">
        <v>19</v>
      </c>
    </row>
    <row r="252" spans="1:11" ht="14.5">
      <c r="A252" s="16" t="s">
        <v>402</v>
      </c>
      <c r="B252" s="4" t="s">
        <v>12</v>
      </c>
      <c r="C252" s="3" t="s">
        <v>62</v>
      </c>
      <c r="D252" s="3" t="s">
        <v>14</v>
      </c>
      <c r="E252" s="4" t="s">
        <v>43</v>
      </c>
      <c r="F252" s="3" t="s">
        <v>67</v>
      </c>
      <c r="G252" s="3">
        <v>11</v>
      </c>
      <c r="H252" s="3">
        <v>456.8</v>
      </c>
      <c r="I252" s="3" t="s">
        <v>261</v>
      </c>
      <c r="J252" s="3" t="s">
        <v>93</v>
      </c>
      <c r="K252" s="3" t="s">
        <v>19</v>
      </c>
    </row>
    <row r="253" spans="1:11" ht="14.5">
      <c r="A253" s="16" t="s">
        <v>195</v>
      </c>
      <c r="B253" s="4" t="s">
        <v>12</v>
      </c>
      <c r="C253" s="3" t="s">
        <v>22</v>
      </c>
      <c r="D253" s="3" t="s">
        <v>29</v>
      </c>
      <c r="E253" s="4" t="s">
        <v>37</v>
      </c>
      <c r="F253" s="3" t="s">
        <v>117</v>
      </c>
      <c r="G253" s="3">
        <v>6</v>
      </c>
      <c r="H253" s="3">
        <v>194.08</v>
      </c>
      <c r="I253" s="3" t="s">
        <v>403</v>
      </c>
      <c r="J253" s="3" t="s">
        <v>32</v>
      </c>
      <c r="K253" s="3" t="s">
        <v>80</v>
      </c>
    </row>
    <row r="254" spans="1:11" ht="14.5">
      <c r="A254" s="16" t="s">
        <v>404</v>
      </c>
      <c r="B254" s="3" t="s">
        <v>46</v>
      </c>
      <c r="C254" s="3" t="s">
        <v>28</v>
      </c>
      <c r="D254" s="3" t="s">
        <v>23</v>
      </c>
      <c r="E254" s="4" t="s">
        <v>37</v>
      </c>
      <c r="F254" s="3" t="s">
        <v>169</v>
      </c>
      <c r="G254" s="3">
        <v>12</v>
      </c>
      <c r="H254" s="3">
        <v>353.76</v>
      </c>
      <c r="I254" s="3" t="s">
        <v>164</v>
      </c>
      <c r="K254" s="3" t="s">
        <v>33</v>
      </c>
    </row>
    <row r="255" spans="1:11" ht="14.5">
      <c r="A255" s="16" t="s">
        <v>198</v>
      </c>
      <c r="C255" s="3" t="s">
        <v>28</v>
      </c>
      <c r="D255" s="3" t="s">
        <v>36</v>
      </c>
      <c r="E255" s="4" t="s">
        <v>15</v>
      </c>
      <c r="F255" s="3" t="s">
        <v>67</v>
      </c>
      <c r="G255" s="3">
        <v>16</v>
      </c>
      <c r="H255" s="3">
        <v>56.8</v>
      </c>
      <c r="I255" s="3" t="s">
        <v>164</v>
      </c>
      <c r="J255" s="3" t="s">
        <v>65</v>
      </c>
      <c r="K255" s="3" t="s">
        <v>83</v>
      </c>
    </row>
    <row r="256" spans="1:11" ht="14.5">
      <c r="A256" s="16" t="s">
        <v>225</v>
      </c>
      <c r="B256" s="4" t="s">
        <v>12</v>
      </c>
      <c r="C256" s="3" t="s">
        <v>13</v>
      </c>
      <c r="D256" s="3" t="s">
        <v>14</v>
      </c>
      <c r="F256" s="3" t="s">
        <v>63</v>
      </c>
      <c r="G256" s="3">
        <v>1</v>
      </c>
      <c r="H256" s="3">
        <v>321.99</v>
      </c>
      <c r="I256" s="3" t="s">
        <v>342</v>
      </c>
      <c r="J256" s="3" t="s">
        <v>93</v>
      </c>
      <c r="K256" s="3" t="s">
        <v>83</v>
      </c>
    </row>
    <row r="257" spans="1:11" ht="14.5">
      <c r="A257" s="16" t="s">
        <v>129</v>
      </c>
      <c r="C257" s="3" t="s">
        <v>22</v>
      </c>
      <c r="D257" s="3" t="s">
        <v>29</v>
      </c>
      <c r="F257" s="3" t="s">
        <v>101</v>
      </c>
      <c r="G257" s="3">
        <v>12</v>
      </c>
      <c r="H257" s="3">
        <v>442.79</v>
      </c>
      <c r="I257" s="3" t="s">
        <v>130</v>
      </c>
      <c r="J257" s="3" t="s">
        <v>32</v>
      </c>
      <c r="K257" s="3" t="s">
        <v>83</v>
      </c>
    </row>
    <row r="258" spans="1:11" ht="14.5">
      <c r="A258" s="16" t="s">
        <v>45</v>
      </c>
      <c r="B258" s="4" t="s">
        <v>12</v>
      </c>
      <c r="C258" s="3" t="s">
        <v>42</v>
      </c>
      <c r="D258" s="3" t="s">
        <v>36</v>
      </c>
      <c r="E258" s="4" t="s">
        <v>37</v>
      </c>
      <c r="F258" s="3" t="s">
        <v>30</v>
      </c>
      <c r="G258" s="3">
        <v>2</v>
      </c>
      <c r="H258" s="3">
        <v>288.87</v>
      </c>
      <c r="I258" s="3" t="s">
        <v>394</v>
      </c>
      <c r="J258" s="3" t="s">
        <v>75</v>
      </c>
      <c r="K258" s="3" t="s">
        <v>80</v>
      </c>
    </row>
    <row r="259" spans="1:11" ht="14.5">
      <c r="A259" s="16" t="s">
        <v>347</v>
      </c>
      <c r="B259" s="3" t="s">
        <v>54</v>
      </c>
      <c r="C259" s="3" t="s">
        <v>87</v>
      </c>
      <c r="D259" s="3" t="s">
        <v>47</v>
      </c>
      <c r="E259" s="4" t="s">
        <v>43</v>
      </c>
      <c r="F259" s="3" t="s">
        <v>101</v>
      </c>
      <c r="G259" s="3">
        <v>7</v>
      </c>
      <c r="H259" s="3">
        <v>267.95999999999998</v>
      </c>
      <c r="I259" s="3" t="s">
        <v>405</v>
      </c>
      <c r="K259" s="3" t="s">
        <v>80</v>
      </c>
    </row>
    <row r="260" spans="1:11" ht="14.5">
      <c r="A260" s="16" t="s">
        <v>406</v>
      </c>
      <c r="B260" s="3" t="s">
        <v>21</v>
      </c>
      <c r="C260" s="3" t="s">
        <v>59</v>
      </c>
      <c r="D260" s="3" t="s">
        <v>50</v>
      </c>
      <c r="E260" s="3" t="s">
        <v>70</v>
      </c>
      <c r="F260" s="3" t="s">
        <v>38</v>
      </c>
      <c r="G260" s="3">
        <v>13</v>
      </c>
      <c r="H260" s="3">
        <v>358.77</v>
      </c>
      <c r="I260" s="3" t="s">
        <v>407</v>
      </c>
      <c r="J260" s="3" t="s">
        <v>75</v>
      </c>
      <c r="K260" s="3" t="s">
        <v>80</v>
      </c>
    </row>
    <row r="261" spans="1:11" ht="14.5">
      <c r="A261" s="16" t="s">
        <v>408</v>
      </c>
      <c r="B261" s="3" t="s">
        <v>54</v>
      </c>
      <c r="C261" s="3" t="s">
        <v>87</v>
      </c>
      <c r="D261" s="3" t="s">
        <v>29</v>
      </c>
      <c r="E261" s="4" t="s">
        <v>37</v>
      </c>
      <c r="F261" s="3" t="s">
        <v>101</v>
      </c>
      <c r="G261" s="3">
        <v>11</v>
      </c>
      <c r="H261" s="3">
        <v>42.68</v>
      </c>
      <c r="I261" s="3" t="s">
        <v>173</v>
      </c>
      <c r="J261" s="3" t="s">
        <v>18</v>
      </c>
      <c r="K261" s="3" t="s">
        <v>19</v>
      </c>
    </row>
    <row r="262" spans="1:11" ht="14.5">
      <c r="A262" s="16" t="s">
        <v>409</v>
      </c>
      <c r="B262" s="3" t="s">
        <v>146</v>
      </c>
      <c r="C262" s="3" t="s">
        <v>59</v>
      </c>
      <c r="D262" s="3" t="s">
        <v>23</v>
      </c>
      <c r="E262" s="4" t="s">
        <v>37</v>
      </c>
      <c r="F262" s="3" t="s">
        <v>183</v>
      </c>
      <c r="G262" s="3">
        <v>8</v>
      </c>
      <c r="H262" s="3">
        <v>59.83</v>
      </c>
      <c r="I262" s="3" t="s">
        <v>410</v>
      </c>
      <c r="J262" s="3" t="s">
        <v>65</v>
      </c>
      <c r="K262" s="3" t="s">
        <v>19</v>
      </c>
    </row>
    <row r="263" spans="1:11" ht="14.5">
      <c r="A263" s="16" t="s">
        <v>411</v>
      </c>
      <c r="B263" s="3" t="s">
        <v>146</v>
      </c>
      <c r="C263" s="3" t="s">
        <v>42</v>
      </c>
      <c r="D263" s="3" t="s">
        <v>50</v>
      </c>
      <c r="E263" s="4" t="s">
        <v>15</v>
      </c>
      <c r="F263" s="3" t="s">
        <v>67</v>
      </c>
      <c r="G263" s="3">
        <v>12</v>
      </c>
      <c r="H263" s="3">
        <v>38.520000000000003</v>
      </c>
      <c r="I263" s="3" t="s">
        <v>113</v>
      </c>
      <c r="J263" s="3" t="s">
        <v>75</v>
      </c>
      <c r="K263" s="3" t="s">
        <v>52</v>
      </c>
    </row>
    <row r="264" spans="1:11" ht="14.5">
      <c r="A264" s="16" t="s">
        <v>412</v>
      </c>
      <c r="B264" s="3" t="s">
        <v>35</v>
      </c>
      <c r="C264" s="3" t="s">
        <v>28</v>
      </c>
      <c r="D264" s="3" t="s">
        <v>50</v>
      </c>
      <c r="E264" s="3" t="s">
        <v>70</v>
      </c>
      <c r="F264" s="3" t="s">
        <v>112</v>
      </c>
      <c r="G264" s="3">
        <v>10</v>
      </c>
      <c r="H264" s="3">
        <v>491.98</v>
      </c>
      <c r="I264" s="3" t="s">
        <v>97</v>
      </c>
      <c r="J264" s="3" t="s">
        <v>75</v>
      </c>
      <c r="K264" s="3" t="s">
        <v>80</v>
      </c>
    </row>
    <row r="265" spans="1:11" ht="14.5">
      <c r="A265" s="16" t="s">
        <v>250</v>
      </c>
      <c r="B265" s="3" t="s">
        <v>21</v>
      </c>
      <c r="C265" s="3" t="s">
        <v>87</v>
      </c>
      <c r="D265" s="3" t="s">
        <v>36</v>
      </c>
      <c r="E265" s="4" t="s">
        <v>37</v>
      </c>
      <c r="F265" s="3" t="s">
        <v>213</v>
      </c>
      <c r="G265" s="3">
        <v>9</v>
      </c>
      <c r="H265" s="3">
        <v>441.72</v>
      </c>
      <c r="I265" s="3" t="s">
        <v>307</v>
      </c>
      <c r="J265" s="3" t="s">
        <v>32</v>
      </c>
      <c r="K265" s="3" t="s">
        <v>19</v>
      </c>
    </row>
    <row r="266" spans="1:11" ht="14.5">
      <c r="A266" s="16" t="s">
        <v>413</v>
      </c>
      <c r="B266" s="4" t="s">
        <v>12</v>
      </c>
      <c r="C266" s="3" t="s">
        <v>42</v>
      </c>
      <c r="D266" s="3" t="s">
        <v>47</v>
      </c>
      <c r="E266" s="4" t="s">
        <v>37</v>
      </c>
      <c r="F266" s="3" t="s">
        <v>112</v>
      </c>
      <c r="G266" s="3">
        <v>12</v>
      </c>
      <c r="H266" s="3">
        <v>151.94</v>
      </c>
      <c r="I266" s="3" t="s">
        <v>215</v>
      </c>
      <c r="J266" s="3" t="s">
        <v>57</v>
      </c>
    </row>
    <row r="267" spans="1:11" ht="14.5">
      <c r="A267" s="16" t="s">
        <v>414</v>
      </c>
      <c r="B267" s="4" t="s">
        <v>12</v>
      </c>
      <c r="C267" s="3" t="s">
        <v>62</v>
      </c>
      <c r="D267" s="3" t="s">
        <v>36</v>
      </c>
      <c r="E267" s="3" t="s">
        <v>24</v>
      </c>
      <c r="F267" s="3" t="s">
        <v>88</v>
      </c>
      <c r="G267" s="3">
        <v>2</v>
      </c>
      <c r="H267" s="3">
        <v>193.37</v>
      </c>
      <c r="I267" s="3" t="s">
        <v>172</v>
      </c>
      <c r="J267" s="3" t="s">
        <v>93</v>
      </c>
      <c r="K267" s="3" t="s">
        <v>52</v>
      </c>
    </row>
    <row r="268" spans="1:11" ht="14.5">
      <c r="A268" s="16" t="s">
        <v>383</v>
      </c>
      <c r="B268" s="4" t="s">
        <v>12</v>
      </c>
      <c r="C268" s="3" t="s">
        <v>22</v>
      </c>
      <c r="D268" s="3" t="s">
        <v>29</v>
      </c>
      <c r="E268" s="3" t="s">
        <v>24</v>
      </c>
      <c r="F268" s="3" t="s">
        <v>88</v>
      </c>
      <c r="G268" s="3">
        <v>13</v>
      </c>
      <c r="H268" s="3">
        <v>349.41</v>
      </c>
      <c r="I268" s="3" t="s">
        <v>415</v>
      </c>
      <c r="J268" s="3" t="s">
        <v>18</v>
      </c>
      <c r="K268" s="3" t="s">
        <v>83</v>
      </c>
    </row>
    <row r="269" spans="1:11" ht="14.5">
      <c r="A269" s="16" t="s">
        <v>362</v>
      </c>
      <c r="B269" s="3" t="s">
        <v>46</v>
      </c>
      <c r="C269" s="3" t="s">
        <v>59</v>
      </c>
      <c r="D269" s="3" t="s">
        <v>47</v>
      </c>
      <c r="E269" s="4" t="s">
        <v>43</v>
      </c>
      <c r="F269" s="3" t="s">
        <v>63</v>
      </c>
      <c r="G269" s="3">
        <v>12</v>
      </c>
      <c r="H269" s="3">
        <v>352.56</v>
      </c>
      <c r="I269" s="3" t="s">
        <v>416</v>
      </c>
      <c r="J269" s="3" t="s">
        <v>57</v>
      </c>
    </row>
    <row r="270" spans="1:11" ht="14.5">
      <c r="A270" s="16" t="s">
        <v>417</v>
      </c>
      <c r="B270" s="4" t="s">
        <v>12</v>
      </c>
      <c r="C270" s="3" t="s">
        <v>13</v>
      </c>
      <c r="D270" s="3" t="s">
        <v>23</v>
      </c>
      <c r="E270" s="4" t="s">
        <v>43</v>
      </c>
      <c r="F270" s="3" t="s">
        <v>273</v>
      </c>
      <c r="G270" s="3">
        <v>5</v>
      </c>
      <c r="H270" s="3">
        <v>69.2</v>
      </c>
      <c r="I270" s="3" t="s">
        <v>184</v>
      </c>
      <c r="J270" s="3" t="s">
        <v>32</v>
      </c>
      <c r="K270" s="3" t="s">
        <v>83</v>
      </c>
    </row>
    <row r="271" spans="1:11" ht="14.5">
      <c r="A271" s="16" t="s">
        <v>156</v>
      </c>
      <c r="B271" s="3" t="s">
        <v>46</v>
      </c>
      <c r="C271" s="3" t="s">
        <v>28</v>
      </c>
      <c r="D271" s="3" t="s">
        <v>36</v>
      </c>
      <c r="F271" s="3" t="s">
        <v>16</v>
      </c>
      <c r="G271" s="3">
        <v>17</v>
      </c>
      <c r="H271" s="3">
        <v>27.9</v>
      </c>
      <c r="I271" s="3" t="s">
        <v>418</v>
      </c>
      <c r="J271" s="3" t="s">
        <v>93</v>
      </c>
      <c r="K271" s="3" t="s">
        <v>33</v>
      </c>
    </row>
    <row r="272" spans="1:11" ht="14.5">
      <c r="A272" s="16" t="s">
        <v>419</v>
      </c>
      <c r="B272" s="4" t="s">
        <v>12</v>
      </c>
      <c r="C272" s="3" t="s">
        <v>22</v>
      </c>
      <c r="D272" s="3" t="s">
        <v>50</v>
      </c>
      <c r="E272" s="4" t="s">
        <v>43</v>
      </c>
      <c r="F272" s="3" t="s">
        <v>67</v>
      </c>
      <c r="G272" s="3">
        <v>2</v>
      </c>
      <c r="H272" s="3">
        <v>261.97000000000003</v>
      </c>
      <c r="I272" s="3" t="s">
        <v>184</v>
      </c>
      <c r="J272" s="3" t="s">
        <v>18</v>
      </c>
      <c r="K272" s="3" t="s">
        <v>40</v>
      </c>
    </row>
    <row r="273" spans="1:11" ht="14.5">
      <c r="A273" s="16" t="s">
        <v>348</v>
      </c>
      <c r="B273" s="4" t="s">
        <v>12</v>
      </c>
      <c r="C273" s="3" t="s">
        <v>62</v>
      </c>
      <c r="D273" s="3" t="s">
        <v>14</v>
      </c>
      <c r="E273" s="3" t="s">
        <v>70</v>
      </c>
      <c r="F273" s="3" t="s">
        <v>183</v>
      </c>
      <c r="G273" s="3">
        <v>9</v>
      </c>
      <c r="H273" s="3">
        <v>265.8</v>
      </c>
      <c r="I273" s="3" t="s">
        <v>143</v>
      </c>
      <c r="J273" s="3" t="s">
        <v>65</v>
      </c>
      <c r="K273" s="3" t="s">
        <v>40</v>
      </c>
    </row>
    <row r="274" spans="1:11" ht="14.5">
      <c r="A274" s="16" t="s">
        <v>420</v>
      </c>
      <c r="C274" s="3" t="s">
        <v>87</v>
      </c>
      <c r="D274" s="3" t="s">
        <v>47</v>
      </c>
      <c r="F274" s="3" t="s">
        <v>127</v>
      </c>
      <c r="G274" s="3">
        <v>11</v>
      </c>
      <c r="H274" s="3">
        <v>391.98</v>
      </c>
      <c r="I274" s="3" t="s">
        <v>421</v>
      </c>
      <c r="J274" s="3" t="s">
        <v>65</v>
      </c>
      <c r="K274" s="3" t="s">
        <v>33</v>
      </c>
    </row>
    <row r="275" spans="1:11" ht="14.5">
      <c r="A275" s="16" t="s">
        <v>422</v>
      </c>
      <c r="B275" s="3" t="s">
        <v>146</v>
      </c>
      <c r="C275" s="3" t="s">
        <v>13</v>
      </c>
      <c r="D275" s="3" t="s">
        <v>14</v>
      </c>
      <c r="E275" s="3" t="s">
        <v>24</v>
      </c>
      <c r="F275" s="3" t="s">
        <v>273</v>
      </c>
      <c r="G275" s="3">
        <v>14</v>
      </c>
      <c r="H275" s="3">
        <v>14.86</v>
      </c>
      <c r="I275" s="3" t="s">
        <v>337</v>
      </c>
      <c r="J275" s="3" t="s">
        <v>93</v>
      </c>
      <c r="K275" s="3" t="s">
        <v>40</v>
      </c>
    </row>
    <row r="276" spans="1:11" ht="14.5">
      <c r="A276" s="16" t="s">
        <v>423</v>
      </c>
      <c r="B276" s="3" t="s">
        <v>35</v>
      </c>
      <c r="C276" s="3" t="s">
        <v>13</v>
      </c>
      <c r="D276" s="3" t="s">
        <v>23</v>
      </c>
      <c r="E276" s="4" t="s">
        <v>37</v>
      </c>
      <c r="F276" s="3" t="s">
        <v>78</v>
      </c>
      <c r="G276" s="3">
        <v>4</v>
      </c>
      <c r="H276" s="3">
        <v>497.64</v>
      </c>
      <c r="I276" s="3" t="s">
        <v>119</v>
      </c>
      <c r="K276" s="3" t="s">
        <v>40</v>
      </c>
    </row>
    <row r="277" spans="1:11" ht="14.5">
      <c r="A277" s="16" t="s">
        <v>381</v>
      </c>
      <c r="B277" s="3" t="s">
        <v>35</v>
      </c>
      <c r="C277" s="3" t="s">
        <v>22</v>
      </c>
      <c r="D277" s="3" t="s">
        <v>23</v>
      </c>
      <c r="E277" s="3" t="s">
        <v>70</v>
      </c>
      <c r="F277" s="3" t="s">
        <v>25</v>
      </c>
      <c r="G277" s="3">
        <v>8</v>
      </c>
      <c r="H277" s="3">
        <v>407.52</v>
      </c>
      <c r="I277" s="3" t="s">
        <v>220</v>
      </c>
      <c r="K277" s="3" t="s">
        <v>80</v>
      </c>
    </row>
    <row r="278" spans="1:11" ht="14.5">
      <c r="A278" s="16" t="s">
        <v>244</v>
      </c>
      <c r="B278" s="3" t="s">
        <v>21</v>
      </c>
      <c r="C278" s="3" t="s">
        <v>28</v>
      </c>
      <c r="D278" s="3" t="s">
        <v>47</v>
      </c>
      <c r="E278" s="4" t="s">
        <v>37</v>
      </c>
      <c r="F278" s="3" t="s">
        <v>127</v>
      </c>
      <c r="G278" s="3">
        <v>19</v>
      </c>
      <c r="H278" s="3">
        <v>408.13</v>
      </c>
      <c r="I278" s="3" t="s">
        <v>329</v>
      </c>
      <c r="K278" s="3" t="s">
        <v>40</v>
      </c>
    </row>
    <row r="279" spans="1:11" ht="14.5">
      <c r="A279" s="16" t="s">
        <v>108</v>
      </c>
      <c r="B279" s="3" t="s">
        <v>54</v>
      </c>
      <c r="C279" s="3" t="s">
        <v>87</v>
      </c>
      <c r="D279" s="3" t="s">
        <v>36</v>
      </c>
      <c r="F279" s="4" t="s">
        <v>91</v>
      </c>
      <c r="G279" s="3">
        <v>8</v>
      </c>
      <c r="H279" s="3">
        <v>196.53</v>
      </c>
      <c r="I279" s="3" t="s">
        <v>145</v>
      </c>
      <c r="J279" s="3" t="s">
        <v>75</v>
      </c>
      <c r="K279" s="3" t="s">
        <v>83</v>
      </c>
    </row>
    <row r="280" spans="1:11" ht="14.5">
      <c r="A280" s="16" t="s">
        <v>424</v>
      </c>
      <c r="B280" s="3" t="s">
        <v>21</v>
      </c>
      <c r="C280" s="3" t="s">
        <v>62</v>
      </c>
      <c r="D280" s="3" t="s">
        <v>47</v>
      </c>
      <c r="E280" s="4" t="s">
        <v>37</v>
      </c>
      <c r="F280" s="3" t="s">
        <v>71</v>
      </c>
      <c r="G280" s="3">
        <v>8</v>
      </c>
      <c r="H280" s="3">
        <v>220.22</v>
      </c>
      <c r="I280" s="3" t="s">
        <v>39</v>
      </c>
    </row>
    <row r="281" spans="1:11" ht="14.5">
      <c r="A281" s="16" t="s">
        <v>346</v>
      </c>
      <c r="B281" s="3" t="s">
        <v>46</v>
      </c>
      <c r="C281" s="3" t="s">
        <v>77</v>
      </c>
      <c r="D281" s="3" t="s">
        <v>29</v>
      </c>
      <c r="E281" s="3" t="s">
        <v>24</v>
      </c>
      <c r="F281" s="3" t="s">
        <v>117</v>
      </c>
      <c r="G281" s="3">
        <v>16</v>
      </c>
      <c r="H281" s="3">
        <v>142.77000000000001</v>
      </c>
      <c r="I281" s="3" t="s">
        <v>181</v>
      </c>
      <c r="J281" s="3" t="s">
        <v>32</v>
      </c>
      <c r="K281" s="3" t="s">
        <v>83</v>
      </c>
    </row>
    <row r="282" spans="1:11" ht="14.5">
      <c r="A282" s="16" t="s">
        <v>263</v>
      </c>
      <c r="B282" s="3" t="s">
        <v>54</v>
      </c>
      <c r="C282" s="3" t="s">
        <v>42</v>
      </c>
      <c r="D282" s="3" t="s">
        <v>36</v>
      </c>
      <c r="E282" s="4" t="s">
        <v>15</v>
      </c>
      <c r="F282" s="3" t="s">
        <v>30</v>
      </c>
      <c r="G282" s="3">
        <v>18</v>
      </c>
      <c r="H282" s="3">
        <v>395.67</v>
      </c>
      <c r="I282" s="3" t="s">
        <v>97</v>
      </c>
      <c r="J282" s="3" t="s">
        <v>18</v>
      </c>
    </row>
    <row r="283" spans="1:11" ht="14.5">
      <c r="A283" s="16" t="s">
        <v>425</v>
      </c>
      <c r="B283" s="3" t="s">
        <v>46</v>
      </c>
      <c r="C283" s="3" t="s">
        <v>22</v>
      </c>
      <c r="D283" s="3" t="s">
        <v>50</v>
      </c>
      <c r="E283" s="4" t="s">
        <v>15</v>
      </c>
      <c r="F283" s="3" t="s">
        <v>38</v>
      </c>
      <c r="G283" s="3">
        <v>14</v>
      </c>
      <c r="H283" s="3">
        <v>476.09</v>
      </c>
      <c r="I283" s="3" t="s">
        <v>145</v>
      </c>
      <c r="J283" s="3" t="s">
        <v>93</v>
      </c>
      <c r="K283" s="3" t="s">
        <v>52</v>
      </c>
    </row>
    <row r="284" spans="1:11" ht="14.5">
      <c r="A284" s="16" t="s">
        <v>426</v>
      </c>
      <c r="B284" s="3" t="s">
        <v>35</v>
      </c>
      <c r="C284" s="3" t="s">
        <v>77</v>
      </c>
      <c r="D284" s="3" t="s">
        <v>36</v>
      </c>
      <c r="E284" s="4" t="s">
        <v>43</v>
      </c>
      <c r="F284" s="3" t="s">
        <v>213</v>
      </c>
      <c r="G284" s="3">
        <v>17</v>
      </c>
      <c r="H284" s="3">
        <v>340.12</v>
      </c>
      <c r="I284" s="3" t="s">
        <v>427</v>
      </c>
      <c r="J284" s="3" t="s">
        <v>75</v>
      </c>
      <c r="K284" s="3" t="s">
        <v>40</v>
      </c>
    </row>
    <row r="285" spans="1:11" ht="14.5">
      <c r="A285" s="16" t="s">
        <v>428</v>
      </c>
      <c r="B285" s="3" t="s">
        <v>46</v>
      </c>
      <c r="C285" s="3" t="s">
        <v>22</v>
      </c>
      <c r="D285" s="3" t="s">
        <v>29</v>
      </c>
      <c r="E285" s="4" t="s">
        <v>37</v>
      </c>
      <c r="F285" s="3" t="s">
        <v>25</v>
      </c>
      <c r="G285" s="3">
        <v>13</v>
      </c>
      <c r="H285" s="3">
        <v>173.97</v>
      </c>
      <c r="I285" s="3" t="s">
        <v>207</v>
      </c>
      <c r="J285" s="3" t="s">
        <v>57</v>
      </c>
      <c r="K285" s="3" t="s">
        <v>52</v>
      </c>
    </row>
    <row r="286" spans="1:11" ht="14.5">
      <c r="A286" s="16" t="s">
        <v>166</v>
      </c>
      <c r="B286" s="3" t="s">
        <v>35</v>
      </c>
      <c r="C286" s="3" t="s">
        <v>77</v>
      </c>
      <c r="D286" s="3" t="s">
        <v>14</v>
      </c>
      <c r="E286" s="4" t="s">
        <v>15</v>
      </c>
      <c r="F286" s="3" t="s">
        <v>106</v>
      </c>
      <c r="G286" s="3">
        <v>10</v>
      </c>
      <c r="H286" s="3">
        <v>400.71</v>
      </c>
      <c r="I286" s="3" t="s">
        <v>241</v>
      </c>
      <c r="J286" s="3" t="s">
        <v>93</v>
      </c>
    </row>
    <row r="287" spans="1:11" ht="14.5">
      <c r="A287" s="16" t="s">
        <v>429</v>
      </c>
      <c r="B287" s="3" t="s">
        <v>21</v>
      </c>
      <c r="C287" s="3" t="s">
        <v>42</v>
      </c>
      <c r="D287" s="3" t="s">
        <v>36</v>
      </c>
      <c r="E287" s="4" t="s">
        <v>43</v>
      </c>
      <c r="F287" s="3" t="s">
        <v>127</v>
      </c>
      <c r="G287" s="3">
        <v>15</v>
      </c>
      <c r="H287" s="3">
        <v>372.46</v>
      </c>
      <c r="I287" s="3" t="s">
        <v>138</v>
      </c>
      <c r="K287" s="3" t="s">
        <v>40</v>
      </c>
    </row>
    <row r="288" spans="1:11" ht="14.5">
      <c r="A288" s="16" t="s">
        <v>137</v>
      </c>
      <c r="B288" s="3" t="s">
        <v>35</v>
      </c>
      <c r="C288" s="3" t="s">
        <v>22</v>
      </c>
      <c r="D288" s="3" t="s">
        <v>23</v>
      </c>
      <c r="E288" s="4" t="s">
        <v>43</v>
      </c>
      <c r="F288" s="3" t="s">
        <v>55</v>
      </c>
      <c r="G288" s="3">
        <v>12</v>
      </c>
      <c r="H288" s="3">
        <v>57.88</v>
      </c>
      <c r="I288" s="3" t="s">
        <v>285</v>
      </c>
      <c r="K288" s="3" t="s">
        <v>19</v>
      </c>
    </row>
    <row r="289" spans="1:11" ht="14.5">
      <c r="A289" s="16" t="s">
        <v>133</v>
      </c>
      <c r="B289" s="3" t="s">
        <v>21</v>
      </c>
      <c r="C289" s="3" t="s">
        <v>13</v>
      </c>
      <c r="D289" s="3" t="s">
        <v>50</v>
      </c>
      <c r="E289" s="3" t="s">
        <v>24</v>
      </c>
      <c r="F289" s="3" t="s">
        <v>183</v>
      </c>
      <c r="G289" s="3">
        <v>17</v>
      </c>
      <c r="H289" s="3">
        <v>120.29</v>
      </c>
      <c r="I289" s="3" t="s">
        <v>430</v>
      </c>
      <c r="J289" s="3" t="s">
        <v>32</v>
      </c>
      <c r="K289" s="3" t="s">
        <v>80</v>
      </c>
    </row>
    <row r="290" spans="1:11" ht="14.5">
      <c r="A290" s="16" t="s">
        <v>313</v>
      </c>
      <c r="B290" s="3" t="s">
        <v>46</v>
      </c>
      <c r="C290" s="3" t="s">
        <v>28</v>
      </c>
      <c r="D290" s="3" t="s">
        <v>29</v>
      </c>
      <c r="E290" s="4" t="s">
        <v>37</v>
      </c>
      <c r="F290" s="3" t="s">
        <v>38</v>
      </c>
      <c r="G290" s="3">
        <v>2</v>
      </c>
      <c r="H290" s="3">
        <v>39.700000000000003</v>
      </c>
      <c r="I290" s="3" t="s">
        <v>394</v>
      </c>
      <c r="K290" s="3" t="s">
        <v>19</v>
      </c>
    </row>
    <row r="291" spans="1:11" ht="14.5">
      <c r="A291" s="16" t="s">
        <v>345</v>
      </c>
      <c r="B291" s="3" t="s">
        <v>146</v>
      </c>
      <c r="C291" s="3" t="s">
        <v>22</v>
      </c>
      <c r="D291" s="3" t="s">
        <v>36</v>
      </c>
      <c r="E291" s="3" t="s">
        <v>70</v>
      </c>
      <c r="F291" s="3" t="s">
        <v>16</v>
      </c>
      <c r="G291" s="3">
        <v>7</v>
      </c>
      <c r="H291" s="3">
        <v>448.09</v>
      </c>
      <c r="I291" s="3" t="s">
        <v>147</v>
      </c>
      <c r="J291" s="3" t="s">
        <v>18</v>
      </c>
      <c r="K291" s="3" t="s">
        <v>52</v>
      </c>
    </row>
    <row r="292" spans="1:11" ht="14.5">
      <c r="A292" s="16" t="s">
        <v>196</v>
      </c>
      <c r="B292" s="3" t="s">
        <v>54</v>
      </c>
      <c r="C292" s="3" t="s">
        <v>62</v>
      </c>
      <c r="D292" s="3" t="s">
        <v>50</v>
      </c>
      <c r="E292" s="4" t="s">
        <v>37</v>
      </c>
      <c r="F292" s="3" t="s">
        <v>78</v>
      </c>
      <c r="G292" s="3">
        <v>1</v>
      </c>
      <c r="H292" s="3">
        <v>294.95999999999998</v>
      </c>
      <c r="I292" s="3" t="s">
        <v>407</v>
      </c>
      <c r="J292" s="3" t="s">
        <v>75</v>
      </c>
      <c r="K292" s="3" t="s">
        <v>19</v>
      </c>
    </row>
    <row r="293" spans="1:11" ht="14.5">
      <c r="A293" s="16" t="s">
        <v>431</v>
      </c>
      <c r="B293" s="3" t="s">
        <v>54</v>
      </c>
      <c r="C293" s="3" t="s">
        <v>87</v>
      </c>
      <c r="D293" s="3" t="s">
        <v>23</v>
      </c>
      <c r="E293" s="4" t="s">
        <v>15</v>
      </c>
      <c r="F293" s="3" t="s">
        <v>106</v>
      </c>
      <c r="G293" s="3">
        <v>2</v>
      </c>
      <c r="H293" s="3">
        <v>85.27</v>
      </c>
      <c r="I293" s="3" t="s">
        <v>344</v>
      </c>
      <c r="J293" s="3" t="s">
        <v>75</v>
      </c>
    </row>
    <row r="294" spans="1:11" ht="14.5">
      <c r="A294" s="16" t="s">
        <v>27</v>
      </c>
      <c r="B294" s="4" t="s">
        <v>12</v>
      </c>
      <c r="C294" s="3" t="s">
        <v>87</v>
      </c>
      <c r="D294" s="3" t="s">
        <v>50</v>
      </c>
      <c r="E294" s="4" t="s">
        <v>15</v>
      </c>
      <c r="F294" s="3" t="s">
        <v>106</v>
      </c>
      <c r="G294" s="3">
        <v>14</v>
      </c>
      <c r="H294" s="3">
        <v>245.09</v>
      </c>
      <c r="I294" s="3" t="s">
        <v>432</v>
      </c>
      <c r="J294" s="3" t="s">
        <v>93</v>
      </c>
      <c r="K294" s="3" t="s">
        <v>80</v>
      </c>
    </row>
    <row r="295" spans="1:11" ht="14.5">
      <c r="A295" s="16" t="s">
        <v>194</v>
      </c>
      <c r="C295" s="3" t="s">
        <v>87</v>
      </c>
      <c r="D295" s="3" t="s">
        <v>47</v>
      </c>
      <c r="E295" s="3" t="s">
        <v>24</v>
      </c>
      <c r="F295" s="3" t="s">
        <v>112</v>
      </c>
      <c r="G295" s="3">
        <v>5</v>
      </c>
      <c r="H295" s="3">
        <v>32.17</v>
      </c>
      <c r="I295" s="3" t="s">
        <v>202</v>
      </c>
      <c r="J295" s="3" t="s">
        <v>57</v>
      </c>
      <c r="K295" s="3" t="s">
        <v>83</v>
      </c>
    </row>
    <row r="296" spans="1:11" ht="14.5">
      <c r="A296" s="16" t="s">
        <v>240</v>
      </c>
      <c r="B296" s="3" t="s">
        <v>146</v>
      </c>
      <c r="C296" s="3" t="s">
        <v>59</v>
      </c>
      <c r="D296" s="3" t="s">
        <v>50</v>
      </c>
      <c r="E296" s="4" t="s">
        <v>37</v>
      </c>
      <c r="F296" s="3" t="s">
        <v>30</v>
      </c>
      <c r="G296" s="3">
        <v>11</v>
      </c>
      <c r="H296" s="3">
        <v>489.84</v>
      </c>
      <c r="I296" s="3" t="s">
        <v>433</v>
      </c>
      <c r="J296" s="3" t="s">
        <v>18</v>
      </c>
      <c r="K296" s="3" t="s">
        <v>80</v>
      </c>
    </row>
    <row r="297" spans="1:11" ht="14.5">
      <c r="A297" s="16" t="s">
        <v>238</v>
      </c>
      <c r="B297" s="3" t="s">
        <v>21</v>
      </c>
      <c r="C297" s="3" t="s">
        <v>42</v>
      </c>
      <c r="D297" s="3" t="s">
        <v>29</v>
      </c>
      <c r="E297" s="4" t="s">
        <v>43</v>
      </c>
      <c r="F297" s="3" t="s">
        <v>67</v>
      </c>
      <c r="G297" s="3">
        <v>12</v>
      </c>
      <c r="H297" s="3">
        <v>44.86</v>
      </c>
      <c r="I297" s="3" t="s">
        <v>145</v>
      </c>
      <c r="J297" s="3" t="s">
        <v>18</v>
      </c>
      <c r="K297" s="3" t="s">
        <v>52</v>
      </c>
    </row>
    <row r="298" spans="1:11" ht="14.5">
      <c r="A298" s="16" t="s">
        <v>319</v>
      </c>
      <c r="B298" s="3" t="s">
        <v>21</v>
      </c>
      <c r="C298" s="3" t="s">
        <v>77</v>
      </c>
      <c r="D298" s="3" t="s">
        <v>29</v>
      </c>
      <c r="E298" s="4" t="s">
        <v>37</v>
      </c>
      <c r="F298" s="3" t="s">
        <v>71</v>
      </c>
      <c r="G298" s="3">
        <v>1</v>
      </c>
      <c r="H298" s="3">
        <v>259.83</v>
      </c>
      <c r="I298" s="3" t="s">
        <v>434</v>
      </c>
      <c r="J298" s="3" t="s">
        <v>32</v>
      </c>
      <c r="K298" s="3" t="s">
        <v>83</v>
      </c>
    </row>
    <row r="299" spans="1:11" ht="14.5">
      <c r="A299" s="16" t="s">
        <v>435</v>
      </c>
      <c r="B299" s="4" t="s">
        <v>12</v>
      </c>
      <c r="C299" s="3" t="s">
        <v>13</v>
      </c>
      <c r="D299" s="3" t="s">
        <v>50</v>
      </c>
      <c r="E299" s="4" t="s">
        <v>15</v>
      </c>
      <c r="F299" s="3" t="s">
        <v>273</v>
      </c>
      <c r="G299" s="3">
        <v>6</v>
      </c>
      <c r="H299" s="3">
        <v>209.91</v>
      </c>
      <c r="I299" s="3" t="s">
        <v>436</v>
      </c>
      <c r="J299" s="3" t="s">
        <v>18</v>
      </c>
      <c r="K299" s="3" t="s">
        <v>80</v>
      </c>
    </row>
    <row r="300" spans="1:11" ht="14.5">
      <c r="A300" s="16" t="s">
        <v>437</v>
      </c>
      <c r="B300" s="4" t="s">
        <v>12</v>
      </c>
      <c r="C300" s="3" t="s">
        <v>13</v>
      </c>
      <c r="D300" s="3" t="s">
        <v>36</v>
      </c>
      <c r="E300" s="4" t="s">
        <v>43</v>
      </c>
      <c r="F300" s="4" t="s">
        <v>91</v>
      </c>
      <c r="G300" s="3">
        <v>2</v>
      </c>
      <c r="H300" s="3">
        <v>178.27</v>
      </c>
      <c r="I300" s="3" t="s">
        <v>438</v>
      </c>
      <c r="J300" s="3" t="s">
        <v>75</v>
      </c>
      <c r="K300" s="3" t="s">
        <v>80</v>
      </c>
    </row>
    <row r="301" spans="1:11" ht="14.5">
      <c r="A301" s="16" t="s">
        <v>417</v>
      </c>
      <c r="B301" s="3" t="s">
        <v>46</v>
      </c>
      <c r="C301" s="3" t="s">
        <v>42</v>
      </c>
      <c r="D301" s="3" t="s">
        <v>29</v>
      </c>
      <c r="E301" s="4" t="s">
        <v>43</v>
      </c>
      <c r="F301" s="3" t="s">
        <v>55</v>
      </c>
      <c r="G301" s="3">
        <v>12</v>
      </c>
      <c r="H301" s="3">
        <v>92.36</v>
      </c>
      <c r="I301" s="3" t="s">
        <v>261</v>
      </c>
      <c r="J301" s="3" t="s">
        <v>93</v>
      </c>
      <c r="K301" s="3" t="s">
        <v>80</v>
      </c>
    </row>
    <row r="302" spans="1:11" ht="14.5">
      <c r="A302" s="16" t="s">
        <v>188</v>
      </c>
      <c r="B302" s="3" t="s">
        <v>21</v>
      </c>
      <c r="C302" s="3" t="s">
        <v>77</v>
      </c>
      <c r="D302" s="3" t="s">
        <v>29</v>
      </c>
      <c r="E302" s="4" t="s">
        <v>15</v>
      </c>
      <c r="F302" s="3" t="s">
        <v>127</v>
      </c>
      <c r="G302" s="3">
        <v>18</v>
      </c>
      <c r="H302" s="3">
        <v>459.02</v>
      </c>
      <c r="I302" s="3" t="s">
        <v>342</v>
      </c>
      <c r="J302" s="3" t="s">
        <v>75</v>
      </c>
      <c r="K302" s="3" t="s">
        <v>83</v>
      </c>
    </row>
    <row r="303" spans="1:11" ht="14.5">
      <c r="A303" s="16" t="s">
        <v>94</v>
      </c>
      <c r="B303" s="4" t="s">
        <v>12</v>
      </c>
      <c r="C303" s="3" t="s">
        <v>59</v>
      </c>
      <c r="D303" s="3" t="s">
        <v>14</v>
      </c>
      <c r="E303" s="4" t="s">
        <v>15</v>
      </c>
      <c r="F303" s="3" t="s">
        <v>38</v>
      </c>
      <c r="G303" s="3">
        <v>1</v>
      </c>
      <c r="H303" s="3">
        <v>74.69</v>
      </c>
      <c r="I303" s="3" t="s">
        <v>160</v>
      </c>
      <c r="J303" s="3" t="s">
        <v>65</v>
      </c>
      <c r="K303" s="3" t="s">
        <v>83</v>
      </c>
    </row>
    <row r="304" spans="1:11" ht="14.5">
      <c r="A304" s="16" t="s">
        <v>45</v>
      </c>
      <c r="B304" s="3" t="s">
        <v>21</v>
      </c>
      <c r="C304" s="3" t="s">
        <v>13</v>
      </c>
      <c r="D304" s="3" t="s">
        <v>29</v>
      </c>
      <c r="E304" s="4" t="s">
        <v>43</v>
      </c>
      <c r="F304" s="3" t="s">
        <v>106</v>
      </c>
      <c r="G304" s="3">
        <v>5</v>
      </c>
      <c r="H304" s="3">
        <v>467.9</v>
      </c>
      <c r="I304" s="3" t="s">
        <v>321</v>
      </c>
      <c r="K304" s="3" t="s">
        <v>80</v>
      </c>
    </row>
    <row r="305" spans="1:11" ht="14.5">
      <c r="A305" s="16" t="s">
        <v>397</v>
      </c>
      <c r="B305" s="4" t="s">
        <v>12</v>
      </c>
      <c r="C305" s="3" t="s">
        <v>28</v>
      </c>
      <c r="D305" s="3" t="s">
        <v>36</v>
      </c>
      <c r="F305" s="3" t="s">
        <v>67</v>
      </c>
      <c r="G305" s="3">
        <v>14</v>
      </c>
      <c r="H305" s="3">
        <v>398.49</v>
      </c>
      <c r="I305" s="3" t="s">
        <v>26</v>
      </c>
      <c r="J305" s="3" t="s">
        <v>93</v>
      </c>
      <c r="K305" s="3" t="s">
        <v>83</v>
      </c>
    </row>
    <row r="306" spans="1:11" ht="14.5">
      <c r="A306" s="16" t="s">
        <v>439</v>
      </c>
      <c r="B306" s="3" t="s">
        <v>54</v>
      </c>
      <c r="C306" s="3" t="s">
        <v>77</v>
      </c>
      <c r="D306" s="3" t="s">
        <v>47</v>
      </c>
      <c r="E306" s="4" t="s">
        <v>15</v>
      </c>
      <c r="F306" s="3" t="s">
        <v>127</v>
      </c>
      <c r="G306" s="3">
        <v>18</v>
      </c>
      <c r="H306" s="3">
        <v>368.72</v>
      </c>
      <c r="I306" s="3" t="s">
        <v>440</v>
      </c>
      <c r="J306" s="3" t="s">
        <v>75</v>
      </c>
      <c r="K306" s="3" t="s">
        <v>19</v>
      </c>
    </row>
    <row r="307" spans="1:11" ht="14.5">
      <c r="A307" s="16" t="s">
        <v>441</v>
      </c>
      <c r="B307" s="3" t="s">
        <v>54</v>
      </c>
      <c r="C307" s="3" t="s">
        <v>77</v>
      </c>
      <c r="D307" s="3" t="s">
        <v>23</v>
      </c>
      <c r="E307" s="4" t="s">
        <v>43</v>
      </c>
      <c r="F307" s="3" t="s">
        <v>38</v>
      </c>
      <c r="G307" s="3">
        <v>2</v>
      </c>
      <c r="H307" s="3">
        <v>356.82</v>
      </c>
      <c r="I307" s="3" t="s">
        <v>353</v>
      </c>
      <c r="J307" s="3" t="s">
        <v>75</v>
      </c>
      <c r="K307" s="3" t="s">
        <v>19</v>
      </c>
    </row>
    <row r="308" spans="1:11" ht="14.5">
      <c r="A308" s="16" t="s">
        <v>327</v>
      </c>
      <c r="B308" s="4" t="s">
        <v>12</v>
      </c>
      <c r="C308" s="3" t="s">
        <v>13</v>
      </c>
      <c r="D308" s="3" t="s">
        <v>14</v>
      </c>
      <c r="E308" s="4" t="s">
        <v>37</v>
      </c>
      <c r="F308" s="3" t="s">
        <v>67</v>
      </c>
      <c r="G308" s="3">
        <v>4</v>
      </c>
      <c r="H308" s="3">
        <v>272.17</v>
      </c>
      <c r="I308" s="3" t="s">
        <v>243</v>
      </c>
      <c r="J308" s="3" t="s">
        <v>75</v>
      </c>
      <c r="K308" s="3" t="s">
        <v>80</v>
      </c>
    </row>
    <row r="309" spans="1:11" ht="14.5">
      <c r="A309" s="16" t="s">
        <v>350</v>
      </c>
      <c r="B309" s="3" t="s">
        <v>54</v>
      </c>
      <c r="C309" s="3" t="s">
        <v>59</v>
      </c>
      <c r="D309" s="3" t="s">
        <v>47</v>
      </c>
      <c r="E309" s="4" t="s">
        <v>37</v>
      </c>
      <c r="F309" s="3" t="s">
        <v>112</v>
      </c>
      <c r="G309" s="3">
        <v>14</v>
      </c>
      <c r="H309" s="3">
        <v>44.26</v>
      </c>
      <c r="I309" s="3" t="s">
        <v>405</v>
      </c>
      <c r="K309" s="3" t="s">
        <v>40</v>
      </c>
    </row>
    <row r="310" spans="1:11" ht="14.5">
      <c r="A310" s="16" t="s">
        <v>442</v>
      </c>
      <c r="B310" s="3" t="s">
        <v>146</v>
      </c>
      <c r="C310" s="3" t="s">
        <v>28</v>
      </c>
      <c r="D310" s="3" t="s">
        <v>14</v>
      </c>
      <c r="E310" s="4" t="s">
        <v>43</v>
      </c>
      <c r="F310" s="3" t="s">
        <v>213</v>
      </c>
      <c r="G310" s="3">
        <v>18</v>
      </c>
      <c r="H310" s="3">
        <v>391.83</v>
      </c>
      <c r="I310" s="3" t="s">
        <v>60</v>
      </c>
      <c r="J310" s="3" t="s">
        <v>93</v>
      </c>
      <c r="K310" s="3" t="s">
        <v>33</v>
      </c>
    </row>
    <row r="311" spans="1:11" ht="14.5">
      <c r="A311" s="16" t="s">
        <v>385</v>
      </c>
      <c r="B311" s="3" t="s">
        <v>54</v>
      </c>
      <c r="C311" s="3" t="s">
        <v>87</v>
      </c>
      <c r="D311" s="3" t="s">
        <v>29</v>
      </c>
      <c r="E311" s="4" t="s">
        <v>43</v>
      </c>
      <c r="F311" s="3" t="s">
        <v>25</v>
      </c>
      <c r="G311" s="3">
        <v>7</v>
      </c>
      <c r="H311" s="3">
        <v>99.99</v>
      </c>
      <c r="I311" s="3" t="s">
        <v>443</v>
      </c>
      <c r="J311" s="3" t="s">
        <v>93</v>
      </c>
      <c r="K311" s="3" t="s">
        <v>40</v>
      </c>
    </row>
    <row r="312" spans="1:11" ht="14.5">
      <c r="A312" s="16" t="s">
        <v>444</v>
      </c>
      <c r="B312" s="4" t="s">
        <v>12</v>
      </c>
      <c r="C312" s="3" t="s">
        <v>13</v>
      </c>
      <c r="D312" s="3" t="s">
        <v>50</v>
      </c>
      <c r="E312" s="4" t="s">
        <v>37</v>
      </c>
      <c r="F312" s="3" t="s">
        <v>106</v>
      </c>
      <c r="G312" s="3">
        <v>14</v>
      </c>
      <c r="H312" s="3">
        <v>11.89</v>
      </c>
      <c r="I312" s="3" t="s">
        <v>268</v>
      </c>
      <c r="J312" s="3" t="s">
        <v>75</v>
      </c>
      <c r="K312" s="3" t="s">
        <v>83</v>
      </c>
    </row>
    <row r="313" spans="1:11" ht="14.5">
      <c r="A313" s="16" t="s">
        <v>325</v>
      </c>
      <c r="B313" s="3" t="s">
        <v>146</v>
      </c>
      <c r="C313" s="3" t="s">
        <v>62</v>
      </c>
      <c r="D313" s="3" t="s">
        <v>47</v>
      </c>
      <c r="E313" s="4" t="s">
        <v>37</v>
      </c>
      <c r="F313" s="3" t="s">
        <v>88</v>
      </c>
      <c r="G313" s="3">
        <v>3</v>
      </c>
      <c r="H313" s="3">
        <v>424.17</v>
      </c>
      <c r="I313" s="3" t="s">
        <v>443</v>
      </c>
      <c r="J313" s="3" t="s">
        <v>18</v>
      </c>
      <c r="K313" s="3" t="s">
        <v>80</v>
      </c>
    </row>
    <row r="314" spans="1:11" ht="14.5">
      <c r="A314" s="16" t="s">
        <v>193</v>
      </c>
      <c r="C314" s="3" t="s">
        <v>62</v>
      </c>
      <c r="D314" s="3" t="s">
        <v>14</v>
      </c>
      <c r="E314" s="4" t="s">
        <v>37</v>
      </c>
      <c r="F314" s="3" t="s">
        <v>273</v>
      </c>
      <c r="G314" s="3">
        <v>14</v>
      </c>
      <c r="H314" s="3">
        <v>55.72</v>
      </c>
      <c r="I314" s="3" t="s">
        <v>224</v>
      </c>
      <c r="J314" s="3" t="s">
        <v>75</v>
      </c>
      <c r="K314" s="3" t="s">
        <v>40</v>
      </c>
    </row>
    <row r="315" spans="1:11" ht="14.5">
      <c r="A315" s="16" t="s">
        <v>445</v>
      </c>
      <c r="B315" s="3" t="s">
        <v>21</v>
      </c>
      <c r="C315" s="3" t="s">
        <v>22</v>
      </c>
      <c r="D315" s="3" t="s">
        <v>29</v>
      </c>
      <c r="E315" s="4" t="s">
        <v>15</v>
      </c>
      <c r="F315" s="3" t="s">
        <v>63</v>
      </c>
      <c r="G315" s="3">
        <v>17</v>
      </c>
      <c r="H315" s="3">
        <v>397.88</v>
      </c>
      <c r="I315" s="3" t="s">
        <v>407</v>
      </c>
      <c r="J315" s="3" t="s">
        <v>32</v>
      </c>
      <c r="K315" s="3" t="s">
        <v>33</v>
      </c>
    </row>
    <row r="316" spans="1:11" ht="14.5">
      <c r="A316" s="16" t="s">
        <v>214</v>
      </c>
      <c r="B316" s="3" t="s">
        <v>46</v>
      </c>
      <c r="C316" s="3" t="s">
        <v>22</v>
      </c>
      <c r="D316" s="3" t="s">
        <v>47</v>
      </c>
      <c r="E316" s="4" t="s">
        <v>37</v>
      </c>
      <c r="F316" s="3" t="s">
        <v>101</v>
      </c>
      <c r="G316" s="3">
        <v>11</v>
      </c>
      <c r="H316" s="3">
        <v>30.12</v>
      </c>
      <c r="I316" s="3" t="s">
        <v>255</v>
      </c>
      <c r="J316" s="3" t="s">
        <v>93</v>
      </c>
      <c r="K316" s="3" t="s">
        <v>83</v>
      </c>
    </row>
    <row r="317" spans="1:11" ht="14.5">
      <c r="A317" s="16" t="s">
        <v>446</v>
      </c>
      <c r="B317" s="3" t="s">
        <v>54</v>
      </c>
      <c r="C317" s="3" t="s">
        <v>42</v>
      </c>
      <c r="D317" s="3" t="s">
        <v>29</v>
      </c>
      <c r="E317" s="4" t="s">
        <v>43</v>
      </c>
      <c r="F317" s="3" t="s">
        <v>55</v>
      </c>
      <c r="G317" s="3">
        <v>14</v>
      </c>
      <c r="H317" s="3">
        <v>179.22</v>
      </c>
      <c r="I317" s="3" t="s">
        <v>56</v>
      </c>
      <c r="J317" s="3" t="s">
        <v>57</v>
      </c>
      <c r="K317" s="3" t="s">
        <v>52</v>
      </c>
    </row>
    <row r="318" spans="1:11" ht="14.5">
      <c r="A318" s="16" t="s">
        <v>447</v>
      </c>
      <c r="B318" s="3" t="s">
        <v>21</v>
      </c>
      <c r="C318" s="3" t="s">
        <v>28</v>
      </c>
      <c r="D318" s="3" t="s">
        <v>29</v>
      </c>
      <c r="E318" s="3" t="s">
        <v>24</v>
      </c>
      <c r="F318" s="3" t="s">
        <v>78</v>
      </c>
      <c r="G318" s="3">
        <v>12</v>
      </c>
      <c r="H318" s="3">
        <v>57.15</v>
      </c>
      <c r="I318" s="3" t="s">
        <v>321</v>
      </c>
      <c r="J318" s="3" t="s">
        <v>57</v>
      </c>
    </row>
    <row r="319" spans="1:11" ht="14.5">
      <c r="A319" s="16" t="s">
        <v>178</v>
      </c>
      <c r="B319" s="3" t="s">
        <v>46</v>
      </c>
      <c r="C319" s="3" t="s">
        <v>87</v>
      </c>
      <c r="D319" s="3" t="s">
        <v>36</v>
      </c>
      <c r="E319" s="3" t="s">
        <v>70</v>
      </c>
      <c r="F319" s="4" t="s">
        <v>91</v>
      </c>
      <c r="G319" s="3">
        <v>1</v>
      </c>
      <c r="H319" s="3">
        <v>59.09</v>
      </c>
      <c r="I319" s="3" t="s">
        <v>448</v>
      </c>
      <c r="J319" s="3" t="s">
        <v>18</v>
      </c>
      <c r="K319" s="3" t="s">
        <v>33</v>
      </c>
    </row>
    <row r="320" spans="1:11" ht="14.5">
      <c r="A320" s="16" t="s">
        <v>266</v>
      </c>
      <c r="B320" s="3" t="s">
        <v>35</v>
      </c>
      <c r="C320" s="3" t="s">
        <v>13</v>
      </c>
      <c r="D320" s="3" t="s">
        <v>36</v>
      </c>
      <c r="E320" s="4" t="s">
        <v>37</v>
      </c>
      <c r="F320" s="3" t="s">
        <v>71</v>
      </c>
      <c r="G320" s="3">
        <v>16</v>
      </c>
      <c r="H320" s="3">
        <v>348.28</v>
      </c>
      <c r="I320" s="3" t="s">
        <v>449</v>
      </c>
      <c r="J320" s="3" t="s">
        <v>57</v>
      </c>
    </row>
    <row r="321" spans="1:11" ht="14.5">
      <c r="A321" s="16" t="s">
        <v>327</v>
      </c>
      <c r="C321" s="3" t="s">
        <v>77</v>
      </c>
      <c r="D321" s="3" t="s">
        <v>29</v>
      </c>
      <c r="E321" s="4" t="s">
        <v>43</v>
      </c>
      <c r="F321" s="3" t="s">
        <v>117</v>
      </c>
      <c r="G321" s="3">
        <v>20</v>
      </c>
      <c r="H321" s="3">
        <v>263.75</v>
      </c>
      <c r="I321" s="3" t="s">
        <v>149</v>
      </c>
      <c r="J321" s="3" t="s">
        <v>93</v>
      </c>
      <c r="K321" s="3" t="s">
        <v>80</v>
      </c>
    </row>
    <row r="322" spans="1:11" ht="14.5">
      <c r="A322" s="16" t="s">
        <v>206</v>
      </c>
      <c r="B322" s="3" t="s">
        <v>46</v>
      </c>
      <c r="C322" s="3" t="s">
        <v>13</v>
      </c>
      <c r="D322" s="3" t="s">
        <v>50</v>
      </c>
      <c r="E322" s="3" t="s">
        <v>24</v>
      </c>
      <c r="F322" s="3" t="s">
        <v>106</v>
      </c>
      <c r="G322" s="3">
        <v>9</v>
      </c>
      <c r="H322" s="3">
        <v>284.12</v>
      </c>
      <c r="I322" s="3" t="s">
        <v>430</v>
      </c>
      <c r="J322" s="3" t="s">
        <v>65</v>
      </c>
      <c r="K322" s="3" t="s">
        <v>52</v>
      </c>
    </row>
    <row r="323" spans="1:11" ht="14.5">
      <c r="A323" s="16" t="s">
        <v>450</v>
      </c>
      <c r="B323" s="3" t="s">
        <v>35</v>
      </c>
      <c r="C323" s="3" t="s">
        <v>42</v>
      </c>
      <c r="D323" s="3" t="s">
        <v>14</v>
      </c>
      <c r="E323" s="4" t="s">
        <v>15</v>
      </c>
      <c r="F323" s="3" t="s">
        <v>273</v>
      </c>
      <c r="G323" s="3">
        <v>13</v>
      </c>
      <c r="H323" s="3">
        <v>99.24</v>
      </c>
      <c r="I323" s="3" t="s">
        <v>285</v>
      </c>
      <c r="J323" s="3" t="s">
        <v>32</v>
      </c>
      <c r="K323" s="3" t="s">
        <v>83</v>
      </c>
    </row>
    <row r="324" spans="1:11" ht="14.5">
      <c r="A324" s="16" t="s">
        <v>150</v>
      </c>
      <c r="B324" s="3" t="s">
        <v>35</v>
      </c>
      <c r="C324" s="3" t="s">
        <v>62</v>
      </c>
      <c r="D324" s="3" t="s">
        <v>47</v>
      </c>
      <c r="E324" s="4" t="s">
        <v>43</v>
      </c>
      <c r="F324" s="3" t="s">
        <v>101</v>
      </c>
      <c r="G324" s="3">
        <v>11</v>
      </c>
      <c r="H324" s="3">
        <v>114.4</v>
      </c>
      <c r="I324" s="3" t="s">
        <v>415</v>
      </c>
      <c r="J324" s="3" t="s">
        <v>57</v>
      </c>
      <c r="K324" s="3" t="s">
        <v>80</v>
      </c>
    </row>
    <row r="325" spans="1:11" ht="14.5">
      <c r="A325" s="16" t="s">
        <v>124</v>
      </c>
      <c r="C325" s="3" t="s">
        <v>59</v>
      </c>
      <c r="D325" s="3" t="s">
        <v>47</v>
      </c>
      <c r="E325" s="4" t="s">
        <v>37</v>
      </c>
      <c r="F325" s="3" t="s">
        <v>112</v>
      </c>
      <c r="G325" s="3">
        <v>5</v>
      </c>
      <c r="H325" s="3">
        <v>450.53</v>
      </c>
      <c r="I325" s="3" t="s">
        <v>351</v>
      </c>
      <c r="K325" s="3" t="s">
        <v>80</v>
      </c>
    </row>
    <row r="326" spans="1:11" ht="14.5">
      <c r="A326" s="16" t="s">
        <v>451</v>
      </c>
      <c r="B326" s="3" t="s">
        <v>46</v>
      </c>
      <c r="C326" s="3" t="s">
        <v>59</v>
      </c>
      <c r="D326" s="3" t="s">
        <v>47</v>
      </c>
      <c r="E326" s="4" t="s">
        <v>37</v>
      </c>
      <c r="F326" s="3" t="s">
        <v>38</v>
      </c>
      <c r="G326" s="3">
        <v>6</v>
      </c>
      <c r="H326" s="3">
        <v>397.06</v>
      </c>
      <c r="I326" s="3" t="s">
        <v>170</v>
      </c>
      <c r="J326" s="3" t="s">
        <v>32</v>
      </c>
      <c r="K326" s="3" t="s">
        <v>19</v>
      </c>
    </row>
    <row r="327" spans="1:11" ht="14.5">
      <c r="A327" s="16" t="s">
        <v>452</v>
      </c>
      <c r="B327" s="4" t="s">
        <v>12</v>
      </c>
      <c r="C327" s="3" t="s">
        <v>42</v>
      </c>
      <c r="D327" s="3" t="s">
        <v>47</v>
      </c>
      <c r="E327" s="4" t="s">
        <v>43</v>
      </c>
      <c r="F327" s="3" t="s">
        <v>16</v>
      </c>
      <c r="G327" s="3">
        <v>12</v>
      </c>
      <c r="H327" s="3">
        <v>468.7</v>
      </c>
      <c r="I327" s="3" t="s">
        <v>410</v>
      </c>
      <c r="J327" s="3" t="s">
        <v>32</v>
      </c>
      <c r="K327" s="3" t="s">
        <v>40</v>
      </c>
    </row>
    <row r="328" spans="1:11" ht="14.5">
      <c r="A328" s="16" t="s">
        <v>309</v>
      </c>
      <c r="B328" s="3" t="s">
        <v>46</v>
      </c>
      <c r="C328" s="3" t="s">
        <v>42</v>
      </c>
      <c r="D328" s="3" t="s">
        <v>36</v>
      </c>
      <c r="E328" s="4" t="s">
        <v>37</v>
      </c>
      <c r="F328" s="3" t="s">
        <v>88</v>
      </c>
      <c r="G328" s="3">
        <v>10</v>
      </c>
      <c r="H328" s="3">
        <v>358.99</v>
      </c>
      <c r="I328" s="3" t="s">
        <v>453</v>
      </c>
      <c r="J328" s="3" t="s">
        <v>75</v>
      </c>
      <c r="K328" s="3" t="s">
        <v>83</v>
      </c>
    </row>
    <row r="329" spans="1:11" ht="14.5">
      <c r="A329" s="16" t="s">
        <v>417</v>
      </c>
      <c r="B329" s="4" t="s">
        <v>12</v>
      </c>
      <c r="C329" s="3" t="s">
        <v>59</v>
      </c>
      <c r="D329" s="3" t="s">
        <v>14</v>
      </c>
      <c r="E329" s="4" t="s">
        <v>43</v>
      </c>
      <c r="F329" s="3" t="s">
        <v>71</v>
      </c>
      <c r="G329" s="3">
        <v>1</v>
      </c>
      <c r="H329" s="3">
        <v>215.81</v>
      </c>
      <c r="I329" s="3" t="s">
        <v>239</v>
      </c>
      <c r="J329" s="3" t="s">
        <v>65</v>
      </c>
    </row>
    <row r="330" spans="1:11" ht="14.5">
      <c r="A330" s="16" t="s">
        <v>454</v>
      </c>
      <c r="B330" s="3" t="s">
        <v>21</v>
      </c>
      <c r="C330" s="3" t="s">
        <v>59</v>
      </c>
      <c r="D330" s="3" t="s">
        <v>23</v>
      </c>
      <c r="E330" s="4" t="s">
        <v>15</v>
      </c>
      <c r="F330" s="3" t="s">
        <v>38</v>
      </c>
      <c r="G330" s="3">
        <v>18</v>
      </c>
      <c r="H330" s="3">
        <v>369.65</v>
      </c>
      <c r="I330" s="3" t="s">
        <v>143</v>
      </c>
      <c r="J330" s="3" t="s">
        <v>75</v>
      </c>
      <c r="K330" s="3" t="s">
        <v>40</v>
      </c>
    </row>
    <row r="331" spans="1:11" ht="14.5">
      <c r="A331" s="16" t="s">
        <v>455</v>
      </c>
      <c r="B331" s="4" t="s">
        <v>12</v>
      </c>
      <c r="C331" s="3" t="s">
        <v>42</v>
      </c>
      <c r="D331" s="3" t="s">
        <v>36</v>
      </c>
      <c r="E331" s="3" t="s">
        <v>70</v>
      </c>
      <c r="F331" s="3" t="s">
        <v>38</v>
      </c>
      <c r="G331" s="3">
        <v>6</v>
      </c>
      <c r="H331" s="3">
        <v>398.11</v>
      </c>
      <c r="I331" s="3" t="s">
        <v>401</v>
      </c>
      <c r="K331" s="3" t="s">
        <v>33</v>
      </c>
    </row>
    <row r="332" spans="1:11" ht="14.5">
      <c r="A332" s="16" t="s">
        <v>456</v>
      </c>
      <c r="B332" s="4" t="s">
        <v>12</v>
      </c>
      <c r="C332" s="3" t="s">
        <v>87</v>
      </c>
      <c r="D332" s="3" t="s">
        <v>47</v>
      </c>
      <c r="E332" s="4" t="s">
        <v>37</v>
      </c>
      <c r="F332" s="3" t="s">
        <v>16</v>
      </c>
      <c r="G332" s="3">
        <v>15</v>
      </c>
      <c r="H332" s="3">
        <v>323.22000000000003</v>
      </c>
      <c r="I332" s="3" t="s">
        <v>245</v>
      </c>
      <c r="J332" s="3" t="s">
        <v>32</v>
      </c>
      <c r="K332" s="3" t="s">
        <v>80</v>
      </c>
    </row>
    <row r="333" spans="1:11" ht="14.5">
      <c r="A333" s="16" t="s">
        <v>457</v>
      </c>
      <c r="B333" s="3" t="s">
        <v>146</v>
      </c>
      <c r="C333" s="3" t="s">
        <v>28</v>
      </c>
      <c r="D333" s="3" t="s">
        <v>50</v>
      </c>
      <c r="E333" s="4" t="s">
        <v>37</v>
      </c>
      <c r="F333" s="3" t="s">
        <v>101</v>
      </c>
      <c r="G333" s="3">
        <v>19</v>
      </c>
      <c r="H333" s="3">
        <v>268.77</v>
      </c>
      <c r="I333" s="3" t="s">
        <v>394</v>
      </c>
      <c r="J333" s="3" t="s">
        <v>65</v>
      </c>
      <c r="K333" s="3" t="s">
        <v>40</v>
      </c>
    </row>
    <row r="334" spans="1:11" ht="14.5">
      <c r="A334" s="16" t="s">
        <v>254</v>
      </c>
      <c r="B334" s="3" t="s">
        <v>146</v>
      </c>
      <c r="C334" s="3" t="s">
        <v>59</v>
      </c>
      <c r="D334" s="3" t="s">
        <v>47</v>
      </c>
      <c r="E334" s="4" t="s">
        <v>43</v>
      </c>
      <c r="F334" s="3" t="s">
        <v>183</v>
      </c>
      <c r="G334" s="3">
        <v>6</v>
      </c>
      <c r="H334" s="3">
        <v>378.37</v>
      </c>
      <c r="I334" s="3" t="s">
        <v>458</v>
      </c>
      <c r="J334" s="3" t="s">
        <v>65</v>
      </c>
      <c r="K334" s="3" t="s">
        <v>80</v>
      </c>
    </row>
    <row r="335" spans="1:11" ht="14.5">
      <c r="A335" s="16" t="s">
        <v>459</v>
      </c>
      <c r="B335" s="3" t="s">
        <v>54</v>
      </c>
      <c r="C335" s="3" t="s">
        <v>59</v>
      </c>
      <c r="D335" s="3" t="s">
        <v>29</v>
      </c>
      <c r="E335" s="4" t="s">
        <v>37</v>
      </c>
      <c r="F335" s="3" t="s">
        <v>127</v>
      </c>
      <c r="G335" s="3">
        <v>5</v>
      </c>
      <c r="H335" s="3">
        <v>214.64</v>
      </c>
      <c r="I335" s="3" t="s">
        <v>318</v>
      </c>
      <c r="J335" s="3" t="s">
        <v>32</v>
      </c>
      <c r="K335" s="3" t="s">
        <v>52</v>
      </c>
    </row>
    <row r="336" spans="1:11" ht="14.5">
      <c r="A336" s="16" t="s">
        <v>460</v>
      </c>
      <c r="B336" s="3" t="s">
        <v>46</v>
      </c>
      <c r="C336" s="3" t="s">
        <v>77</v>
      </c>
      <c r="D336" s="3" t="s">
        <v>14</v>
      </c>
      <c r="E336" s="4" t="s">
        <v>43</v>
      </c>
      <c r="F336" s="3" t="s">
        <v>30</v>
      </c>
      <c r="G336" s="3">
        <v>5</v>
      </c>
      <c r="H336" s="3">
        <v>143.24</v>
      </c>
      <c r="I336" s="3" t="s">
        <v>458</v>
      </c>
      <c r="J336" s="3" t="s">
        <v>75</v>
      </c>
      <c r="K336" s="3" t="s">
        <v>33</v>
      </c>
    </row>
    <row r="337" spans="1:11" ht="14.5">
      <c r="A337" s="16" t="s">
        <v>461</v>
      </c>
      <c r="B337" s="4" t="s">
        <v>12</v>
      </c>
      <c r="C337" s="3" t="s">
        <v>22</v>
      </c>
      <c r="D337" s="3" t="s">
        <v>29</v>
      </c>
      <c r="E337" s="4" t="s">
        <v>37</v>
      </c>
      <c r="F337" s="3" t="s">
        <v>25</v>
      </c>
      <c r="G337" s="3">
        <v>20</v>
      </c>
      <c r="H337" s="3">
        <v>301.49</v>
      </c>
      <c r="I337" s="3" t="s">
        <v>186</v>
      </c>
      <c r="J337" s="3" t="s">
        <v>32</v>
      </c>
      <c r="K337" s="3" t="s">
        <v>40</v>
      </c>
    </row>
    <row r="338" spans="1:11" ht="14.5">
      <c r="A338" s="16" t="s">
        <v>227</v>
      </c>
      <c r="B338" s="4" t="s">
        <v>12</v>
      </c>
      <c r="C338" s="3" t="s">
        <v>77</v>
      </c>
      <c r="D338" s="3" t="s">
        <v>50</v>
      </c>
      <c r="E338" s="3" t="s">
        <v>70</v>
      </c>
      <c r="F338" s="4" t="s">
        <v>91</v>
      </c>
      <c r="G338" s="3">
        <v>14</v>
      </c>
      <c r="H338" s="3">
        <v>473.89</v>
      </c>
      <c r="I338" s="3" t="s">
        <v>44</v>
      </c>
      <c r="J338" s="3" t="s">
        <v>65</v>
      </c>
      <c r="K338" s="3" t="s">
        <v>40</v>
      </c>
    </row>
    <row r="339" spans="1:11" ht="14.5">
      <c r="A339" s="16" t="s">
        <v>193</v>
      </c>
      <c r="B339" s="3" t="s">
        <v>35</v>
      </c>
      <c r="C339" s="3" t="s">
        <v>13</v>
      </c>
      <c r="D339" s="3" t="s">
        <v>29</v>
      </c>
      <c r="F339" s="3" t="s">
        <v>38</v>
      </c>
      <c r="G339" s="3">
        <v>4</v>
      </c>
      <c r="H339" s="3">
        <v>313.02</v>
      </c>
      <c r="I339" s="3" t="s">
        <v>143</v>
      </c>
      <c r="J339" s="3" t="s">
        <v>18</v>
      </c>
      <c r="K339" s="3" t="s">
        <v>52</v>
      </c>
    </row>
    <row r="340" spans="1:11" ht="14.5">
      <c r="A340" s="16" t="s">
        <v>309</v>
      </c>
      <c r="B340" s="3" t="s">
        <v>146</v>
      </c>
      <c r="C340" s="3" t="s">
        <v>28</v>
      </c>
      <c r="D340" s="3" t="s">
        <v>36</v>
      </c>
      <c r="E340" s="4" t="s">
        <v>43</v>
      </c>
      <c r="F340" s="3" t="s">
        <v>16</v>
      </c>
      <c r="G340" s="3">
        <v>10</v>
      </c>
      <c r="H340" s="3">
        <v>266.33999999999997</v>
      </c>
      <c r="I340" s="3" t="s">
        <v>462</v>
      </c>
      <c r="J340" s="3" t="s">
        <v>93</v>
      </c>
      <c r="K340" s="3" t="s">
        <v>52</v>
      </c>
    </row>
    <row r="341" spans="1:11" ht="14.5">
      <c r="A341" s="16" t="s">
        <v>66</v>
      </c>
      <c r="B341" s="4" t="s">
        <v>12</v>
      </c>
      <c r="C341" s="3" t="s">
        <v>22</v>
      </c>
      <c r="D341" s="3" t="s">
        <v>14</v>
      </c>
      <c r="E341" s="4" t="s">
        <v>43</v>
      </c>
      <c r="F341" s="3" t="s">
        <v>55</v>
      </c>
      <c r="G341" s="3">
        <v>12</v>
      </c>
      <c r="H341" s="3">
        <v>259.44</v>
      </c>
      <c r="I341" s="3" t="s">
        <v>181</v>
      </c>
      <c r="J341" s="3" t="s">
        <v>75</v>
      </c>
      <c r="K341" s="3" t="s">
        <v>83</v>
      </c>
    </row>
    <row r="342" spans="1:11" ht="14.5">
      <c r="A342" s="16" t="s">
        <v>463</v>
      </c>
      <c r="B342" s="4" t="s">
        <v>12</v>
      </c>
      <c r="C342" s="3" t="s">
        <v>62</v>
      </c>
      <c r="D342" s="3" t="s">
        <v>23</v>
      </c>
      <c r="E342" s="4" t="s">
        <v>37</v>
      </c>
      <c r="F342" s="3" t="s">
        <v>30</v>
      </c>
      <c r="G342" s="3">
        <v>19</v>
      </c>
      <c r="H342" s="3">
        <v>357.94</v>
      </c>
      <c r="I342" s="3" t="s">
        <v>364</v>
      </c>
      <c r="J342" s="3" t="s">
        <v>75</v>
      </c>
      <c r="K342" s="3" t="s">
        <v>80</v>
      </c>
    </row>
    <row r="343" spans="1:11" ht="14.5">
      <c r="A343" s="16" t="s">
        <v>464</v>
      </c>
      <c r="B343" s="4" t="s">
        <v>12</v>
      </c>
      <c r="C343" s="3" t="s">
        <v>77</v>
      </c>
      <c r="D343" s="3" t="s">
        <v>36</v>
      </c>
      <c r="E343" s="4" t="s">
        <v>43</v>
      </c>
      <c r="F343" s="4" t="s">
        <v>91</v>
      </c>
      <c r="G343" s="3">
        <v>13</v>
      </c>
      <c r="H343" s="3">
        <v>472.1</v>
      </c>
      <c r="I343" s="3" t="s">
        <v>102</v>
      </c>
      <c r="J343" s="3" t="s">
        <v>18</v>
      </c>
      <c r="K343" s="3" t="s">
        <v>80</v>
      </c>
    </row>
    <row r="344" spans="1:11" ht="14.5">
      <c r="A344" s="16" t="s">
        <v>370</v>
      </c>
      <c r="B344" s="4" t="s">
        <v>12</v>
      </c>
      <c r="C344" s="3" t="s">
        <v>28</v>
      </c>
      <c r="D344" s="3" t="s">
        <v>23</v>
      </c>
      <c r="E344" s="4" t="s">
        <v>37</v>
      </c>
      <c r="F344" s="3" t="s">
        <v>183</v>
      </c>
      <c r="G344" s="3">
        <v>1</v>
      </c>
      <c r="H344" s="3">
        <v>241.63</v>
      </c>
      <c r="I344" s="3" t="s">
        <v>465</v>
      </c>
      <c r="J344" s="3" t="s">
        <v>32</v>
      </c>
      <c r="K344" s="3" t="s">
        <v>52</v>
      </c>
    </row>
    <row r="345" spans="1:11" ht="14.5">
      <c r="A345" s="16" t="s">
        <v>380</v>
      </c>
      <c r="B345" s="3" t="s">
        <v>54</v>
      </c>
      <c r="C345" s="3" t="s">
        <v>22</v>
      </c>
      <c r="D345" s="3" t="s">
        <v>14</v>
      </c>
      <c r="E345" s="4" t="s">
        <v>43</v>
      </c>
      <c r="F345" s="3" t="s">
        <v>273</v>
      </c>
      <c r="G345" s="3">
        <v>3</v>
      </c>
      <c r="H345" s="3">
        <v>469.45</v>
      </c>
      <c r="I345" s="3" t="s">
        <v>366</v>
      </c>
      <c r="K345" s="3" t="s">
        <v>19</v>
      </c>
    </row>
    <row r="346" spans="1:11" ht="14.5">
      <c r="A346" s="16" t="s">
        <v>320</v>
      </c>
      <c r="C346" s="3" t="s">
        <v>13</v>
      </c>
      <c r="D346" s="3" t="s">
        <v>47</v>
      </c>
      <c r="E346" s="4" t="s">
        <v>43</v>
      </c>
      <c r="F346" s="3" t="s">
        <v>106</v>
      </c>
      <c r="G346" s="3">
        <v>8</v>
      </c>
      <c r="H346" s="3">
        <v>140.46</v>
      </c>
      <c r="I346" s="3" t="s">
        <v>432</v>
      </c>
      <c r="J346" s="3" t="s">
        <v>18</v>
      </c>
      <c r="K346" s="3" t="s">
        <v>80</v>
      </c>
    </row>
    <row r="347" spans="1:11" ht="14.5">
      <c r="A347" s="16" t="s">
        <v>466</v>
      </c>
      <c r="B347" s="4" t="s">
        <v>12</v>
      </c>
      <c r="C347" s="3" t="s">
        <v>87</v>
      </c>
      <c r="D347" s="3" t="s">
        <v>23</v>
      </c>
      <c r="E347" s="4" t="s">
        <v>43</v>
      </c>
      <c r="F347" s="3" t="s">
        <v>71</v>
      </c>
      <c r="G347" s="3">
        <v>3</v>
      </c>
      <c r="H347" s="3">
        <v>40.119999999999997</v>
      </c>
      <c r="I347" s="3" t="s">
        <v>211</v>
      </c>
      <c r="J347" s="3" t="s">
        <v>65</v>
      </c>
    </row>
    <row r="348" spans="1:11" ht="14.5">
      <c r="A348" s="16" t="s">
        <v>195</v>
      </c>
      <c r="C348" s="3" t="s">
        <v>13</v>
      </c>
      <c r="D348" s="3" t="s">
        <v>50</v>
      </c>
      <c r="E348" s="4" t="s">
        <v>37</v>
      </c>
      <c r="F348" s="3" t="s">
        <v>183</v>
      </c>
      <c r="G348" s="3">
        <v>7</v>
      </c>
      <c r="H348" s="3">
        <v>165.76</v>
      </c>
      <c r="I348" s="3" t="s">
        <v>467</v>
      </c>
      <c r="J348" s="3" t="s">
        <v>65</v>
      </c>
      <c r="K348" s="3" t="s">
        <v>19</v>
      </c>
    </row>
    <row r="349" spans="1:11" ht="14.5">
      <c r="A349" s="16" t="s">
        <v>252</v>
      </c>
      <c r="B349" s="4" t="s">
        <v>12</v>
      </c>
      <c r="C349" s="3" t="s">
        <v>13</v>
      </c>
      <c r="D349" s="3" t="s">
        <v>50</v>
      </c>
      <c r="E349" s="4" t="s">
        <v>43</v>
      </c>
      <c r="F349" s="3" t="s">
        <v>117</v>
      </c>
      <c r="G349" s="3">
        <v>3</v>
      </c>
      <c r="H349" s="3">
        <v>131.78</v>
      </c>
      <c r="I349" s="3" t="s">
        <v>220</v>
      </c>
    </row>
    <row r="350" spans="1:11" ht="14.5">
      <c r="A350" s="16" t="s">
        <v>468</v>
      </c>
      <c r="B350" s="4" t="s">
        <v>12</v>
      </c>
      <c r="C350" s="3" t="s">
        <v>87</v>
      </c>
      <c r="D350" s="3" t="s">
        <v>50</v>
      </c>
      <c r="E350" s="4" t="s">
        <v>43</v>
      </c>
      <c r="F350" s="3" t="s">
        <v>71</v>
      </c>
      <c r="G350" s="3">
        <v>7</v>
      </c>
      <c r="H350" s="3">
        <v>113.97</v>
      </c>
      <c r="I350" s="3" t="s">
        <v>321</v>
      </c>
      <c r="J350" s="3" t="s">
        <v>57</v>
      </c>
      <c r="K350" s="3" t="s">
        <v>83</v>
      </c>
    </row>
    <row r="351" spans="1:11" ht="14.5">
      <c r="A351" s="16" t="s">
        <v>469</v>
      </c>
      <c r="B351" s="4" t="s">
        <v>12</v>
      </c>
      <c r="C351" s="3" t="s">
        <v>28</v>
      </c>
      <c r="D351" s="3" t="s">
        <v>23</v>
      </c>
      <c r="E351" s="4" t="s">
        <v>15</v>
      </c>
      <c r="F351" s="3" t="s">
        <v>273</v>
      </c>
      <c r="G351" s="3">
        <v>17</v>
      </c>
      <c r="H351" s="3">
        <v>150.63999999999999</v>
      </c>
      <c r="I351" s="3" t="s">
        <v>407</v>
      </c>
      <c r="J351" s="3" t="s">
        <v>93</v>
      </c>
      <c r="K351" s="3" t="s">
        <v>19</v>
      </c>
    </row>
    <row r="352" spans="1:11" ht="14.5">
      <c r="A352" s="16" t="s">
        <v>53</v>
      </c>
      <c r="B352" s="3" t="s">
        <v>54</v>
      </c>
      <c r="C352" s="3" t="s">
        <v>87</v>
      </c>
      <c r="D352" s="3" t="s">
        <v>29</v>
      </c>
      <c r="E352" s="4" t="s">
        <v>43</v>
      </c>
      <c r="F352" s="3" t="s">
        <v>183</v>
      </c>
      <c r="G352" s="3">
        <v>17</v>
      </c>
      <c r="H352" s="3">
        <v>489.34</v>
      </c>
      <c r="I352" s="3" t="s">
        <v>356</v>
      </c>
      <c r="J352" s="3" t="s">
        <v>75</v>
      </c>
      <c r="K352" s="3" t="s">
        <v>33</v>
      </c>
    </row>
    <row r="353" spans="1:11" ht="14.5">
      <c r="A353" s="16" t="s">
        <v>470</v>
      </c>
      <c r="B353" s="4" t="s">
        <v>12</v>
      </c>
      <c r="C353" s="3" t="s">
        <v>59</v>
      </c>
      <c r="D353" s="3" t="s">
        <v>36</v>
      </c>
      <c r="E353" s="4" t="s">
        <v>15</v>
      </c>
      <c r="F353" s="3" t="s">
        <v>213</v>
      </c>
      <c r="G353" s="3">
        <v>2</v>
      </c>
      <c r="H353" s="3">
        <v>334.56</v>
      </c>
      <c r="I353" s="3" t="s">
        <v>471</v>
      </c>
      <c r="J353" s="3" t="s">
        <v>57</v>
      </c>
      <c r="K353" s="3" t="s">
        <v>80</v>
      </c>
    </row>
    <row r="354" spans="1:11" ht="14.5">
      <c r="A354" s="16" t="s">
        <v>229</v>
      </c>
      <c r="B354" s="3" t="s">
        <v>46</v>
      </c>
      <c r="C354" s="3" t="s">
        <v>87</v>
      </c>
      <c r="D354" s="3" t="s">
        <v>29</v>
      </c>
      <c r="E354" s="4" t="s">
        <v>37</v>
      </c>
      <c r="F354" s="3" t="s">
        <v>169</v>
      </c>
      <c r="G354" s="3">
        <v>2</v>
      </c>
      <c r="H354" s="3">
        <v>399.17</v>
      </c>
      <c r="I354" s="3" t="s">
        <v>321</v>
      </c>
      <c r="J354" s="3" t="s">
        <v>32</v>
      </c>
      <c r="K354" s="3" t="s">
        <v>19</v>
      </c>
    </row>
    <row r="355" spans="1:11" ht="14.5">
      <c r="A355" s="16" t="s">
        <v>369</v>
      </c>
      <c r="B355" s="3" t="s">
        <v>35</v>
      </c>
      <c r="C355" s="3" t="s">
        <v>28</v>
      </c>
      <c r="D355" s="3" t="s">
        <v>50</v>
      </c>
      <c r="E355" s="4" t="s">
        <v>15</v>
      </c>
      <c r="F355" s="3" t="s">
        <v>63</v>
      </c>
      <c r="G355" s="3">
        <v>19</v>
      </c>
      <c r="H355" s="3">
        <v>272.68</v>
      </c>
      <c r="I355" s="3" t="s">
        <v>219</v>
      </c>
      <c r="J355" s="3" t="s">
        <v>57</v>
      </c>
      <c r="K355" s="3" t="s">
        <v>52</v>
      </c>
    </row>
    <row r="356" spans="1:11" ht="14.5">
      <c r="A356" s="16" t="s">
        <v>472</v>
      </c>
      <c r="B356" s="4" t="s">
        <v>12</v>
      </c>
      <c r="C356" s="3" t="s">
        <v>28</v>
      </c>
      <c r="D356" s="3" t="s">
        <v>47</v>
      </c>
      <c r="E356" s="4" t="s">
        <v>37</v>
      </c>
      <c r="F356" s="3" t="s">
        <v>106</v>
      </c>
      <c r="G356" s="3">
        <v>13</v>
      </c>
      <c r="H356" s="3">
        <v>34.68</v>
      </c>
      <c r="I356" s="3" t="s">
        <v>374</v>
      </c>
      <c r="J356" s="3" t="s">
        <v>18</v>
      </c>
      <c r="K356" s="3" t="s">
        <v>80</v>
      </c>
    </row>
    <row r="357" spans="1:11" ht="14.5">
      <c r="A357" s="16" t="s">
        <v>229</v>
      </c>
      <c r="B357" s="4" t="s">
        <v>12</v>
      </c>
      <c r="C357" s="3" t="s">
        <v>42</v>
      </c>
      <c r="D357" s="3" t="s">
        <v>29</v>
      </c>
      <c r="E357" s="4" t="s">
        <v>15</v>
      </c>
      <c r="F357" s="3" t="s">
        <v>78</v>
      </c>
      <c r="G357" s="3">
        <v>13</v>
      </c>
      <c r="H357" s="3">
        <v>44.09</v>
      </c>
      <c r="I357" s="3" t="s">
        <v>74</v>
      </c>
      <c r="J357" s="3" t="s">
        <v>18</v>
      </c>
      <c r="K357" s="3" t="s">
        <v>52</v>
      </c>
    </row>
    <row r="358" spans="1:11" ht="14.5">
      <c r="A358" s="16" t="s">
        <v>306</v>
      </c>
      <c r="B358" s="4" t="s">
        <v>12</v>
      </c>
      <c r="C358" s="3" t="s">
        <v>13</v>
      </c>
      <c r="D358" s="3" t="s">
        <v>14</v>
      </c>
      <c r="F358" s="3" t="s">
        <v>38</v>
      </c>
      <c r="G358" s="3">
        <v>16</v>
      </c>
      <c r="H358" s="3">
        <v>342.8</v>
      </c>
      <c r="I358" s="3" t="s">
        <v>473</v>
      </c>
      <c r="J358" s="3" t="s">
        <v>18</v>
      </c>
      <c r="K358" s="3" t="s">
        <v>83</v>
      </c>
    </row>
    <row r="359" spans="1:11" ht="14.5">
      <c r="A359" s="16" t="s">
        <v>118</v>
      </c>
      <c r="B359" s="3" t="s">
        <v>46</v>
      </c>
      <c r="C359" s="3" t="s">
        <v>62</v>
      </c>
      <c r="D359" s="3" t="s">
        <v>23</v>
      </c>
      <c r="E359" s="4" t="s">
        <v>43</v>
      </c>
      <c r="F359" s="3" t="s">
        <v>38</v>
      </c>
      <c r="G359" s="3">
        <v>14</v>
      </c>
      <c r="H359" s="3">
        <v>439.88</v>
      </c>
      <c r="I359" s="3" t="s">
        <v>297</v>
      </c>
      <c r="J359" s="3" t="s">
        <v>18</v>
      </c>
      <c r="K359" s="3" t="s">
        <v>19</v>
      </c>
    </row>
    <row r="360" spans="1:11" ht="14.5">
      <c r="A360" s="16" t="s">
        <v>474</v>
      </c>
      <c r="B360" s="4" t="s">
        <v>12</v>
      </c>
      <c r="C360" s="3" t="s">
        <v>13</v>
      </c>
      <c r="D360" s="3" t="s">
        <v>23</v>
      </c>
      <c r="E360" s="4" t="s">
        <v>37</v>
      </c>
      <c r="F360" s="3" t="s">
        <v>106</v>
      </c>
      <c r="G360" s="3">
        <v>6</v>
      </c>
      <c r="H360" s="3">
        <v>117.23</v>
      </c>
      <c r="I360" s="3" t="s">
        <v>97</v>
      </c>
      <c r="J360" s="3" t="s">
        <v>93</v>
      </c>
    </row>
    <row r="361" spans="1:11" ht="14.5">
      <c r="A361" s="16" t="s">
        <v>475</v>
      </c>
      <c r="B361" s="3" t="s">
        <v>146</v>
      </c>
      <c r="C361" s="3" t="s">
        <v>22</v>
      </c>
      <c r="D361" s="3" t="s">
        <v>50</v>
      </c>
      <c r="E361" s="4" t="s">
        <v>43</v>
      </c>
      <c r="F361" s="3" t="s">
        <v>112</v>
      </c>
      <c r="G361" s="3">
        <v>17</v>
      </c>
      <c r="H361" s="3">
        <v>112.34</v>
      </c>
      <c r="I361" s="3" t="s">
        <v>476</v>
      </c>
      <c r="J361" s="3" t="s">
        <v>93</v>
      </c>
      <c r="K361" s="3" t="s">
        <v>52</v>
      </c>
    </row>
    <row r="362" spans="1:11" ht="14.5">
      <c r="A362" s="16" t="s">
        <v>325</v>
      </c>
      <c r="C362" s="3" t="s">
        <v>59</v>
      </c>
      <c r="D362" s="3" t="s">
        <v>14</v>
      </c>
      <c r="E362" s="4" t="s">
        <v>37</v>
      </c>
      <c r="F362" s="3" t="s">
        <v>127</v>
      </c>
      <c r="G362" s="3">
        <v>18</v>
      </c>
      <c r="H362" s="3">
        <v>105.36</v>
      </c>
      <c r="I362" s="3" t="s">
        <v>462</v>
      </c>
      <c r="J362" s="3" t="s">
        <v>18</v>
      </c>
      <c r="K362" s="3" t="s">
        <v>83</v>
      </c>
    </row>
    <row r="363" spans="1:11" ht="14.5">
      <c r="A363" s="16" t="s">
        <v>477</v>
      </c>
      <c r="B363" s="3" t="s">
        <v>54</v>
      </c>
      <c r="C363" s="3" t="s">
        <v>87</v>
      </c>
      <c r="D363" s="3" t="s">
        <v>23</v>
      </c>
      <c r="E363" s="3" t="s">
        <v>70</v>
      </c>
      <c r="F363" s="3" t="s">
        <v>169</v>
      </c>
      <c r="G363" s="3">
        <v>14</v>
      </c>
      <c r="H363" s="3">
        <v>220.39</v>
      </c>
      <c r="I363" s="3" t="s">
        <v>478</v>
      </c>
      <c r="J363" s="3" t="s">
        <v>32</v>
      </c>
      <c r="K363" s="3" t="s">
        <v>19</v>
      </c>
    </row>
    <row r="364" spans="1:11" ht="14.5">
      <c r="A364" s="16" t="s">
        <v>398</v>
      </c>
      <c r="B364" s="4" t="s">
        <v>12</v>
      </c>
      <c r="C364" s="3" t="s">
        <v>42</v>
      </c>
      <c r="D364" s="3" t="s">
        <v>50</v>
      </c>
      <c r="F364" s="3" t="s">
        <v>127</v>
      </c>
      <c r="G364" s="3">
        <v>9</v>
      </c>
      <c r="H364" s="3">
        <v>89.2</v>
      </c>
      <c r="I364" s="3" t="s">
        <v>31</v>
      </c>
      <c r="J364" s="3" t="s">
        <v>32</v>
      </c>
      <c r="K364" s="3" t="s">
        <v>52</v>
      </c>
    </row>
    <row r="365" spans="1:11" ht="14.5">
      <c r="A365" s="16" t="s">
        <v>191</v>
      </c>
      <c r="B365" s="4" t="s">
        <v>12</v>
      </c>
      <c r="C365" s="3" t="s">
        <v>87</v>
      </c>
      <c r="D365" s="3" t="s">
        <v>36</v>
      </c>
      <c r="E365" s="4" t="s">
        <v>43</v>
      </c>
      <c r="F365" s="3" t="s">
        <v>25</v>
      </c>
      <c r="G365" s="3">
        <v>15</v>
      </c>
      <c r="H365" s="3">
        <v>400.11</v>
      </c>
      <c r="I365" s="3" t="s">
        <v>366</v>
      </c>
      <c r="J365" s="3" t="s">
        <v>75</v>
      </c>
      <c r="K365" s="3" t="s">
        <v>40</v>
      </c>
    </row>
    <row r="366" spans="1:11" ht="14.5">
      <c r="A366" s="16" t="s">
        <v>234</v>
      </c>
      <c r="B366" s="3" t="s">
        <v>146</v>
      </c>
      <c r="C366" s="3" t="s">
        <v>59</v>
      </c>
      <c r="D366" s="3" t="s">
        <v>29</v>
      </c>
      <c r="E366" s="3" t="s">
        <v>24</v>
      </c>
      <c r="F366" s="3" t="s">
        <v>169</v>
      </c>
      <c r="G366" s="3">
        <v>2</v>
      </c>
      <c r="H366" s="3">
        <v>280.44</v>
      </c>
      <c r="I366" s="3" t="s">
        <v>175</v>
      </c>
      <c r="J366" s="3" t="s">
        <v>18</v>
      </c>
      <c r="K366" s="3" t="s">
        <v>83</v>
      </c>
    </row>
    <row r="367" spans="1:11" ht="14.5">
      <c r="A367" s="16" t="s">
        <v>154</v>
      </c>
      <c r="B367" s="3" t="s">
        <v>146</v>
      </c>
      <c r="C367" s="3" t="s">
        <v>28</v>
      </c>
      <c r="D367" s="3" t="s">
        <v>14</v>
      </c>
      <c r="E367" s="4" t="s">
        <v>37</v>
      </c>
      <c r="F367" s="3" t="s">
        <v>16</v>
      </c>
      <c r="G367" s="3">
        <v>4</v>
      </c>
      <c r="H367" s="3">
        <v>108.89</v>
      </c>
      <c r="I367" s="3" t="s">
        <v>479</v>
      </c>
      <c r="J367" s="3" t="s">
        <v>75</v>
      </c>
    </row>
    <row r="368" spans="1:11" ht="14.5">
      <c r="A368" s="16" t="s">
        <v>347</v>
      </c>
      <c r="C368" s="3" t="s">
        <v>77</v>
      </c>
      <c r="D368" s="3" t="s">
        <v>50</v>
      </c>
      <c r="F368" s="3" t="s">
        <v>127</v>
      </c>
      <c r="G368" s="3">
        <v>12</v>
      </c>
      <c r="H368" s="3">
        <v>394.37</v>
      </c>
      <c r="I368" s="3" t="s">
        <v>230</v>
      </c>
      <c r="J368" s="3" t="s">
        <v>57</v>
      </c>
    </row>
    <row r="369" spans="1:11" ht="14.5">
      <c r="A369" s="16" t="s">
        <v>188</v>
      </c>
      <c r="B369" s="3" t="s">
        <v>46</v>
      </c>
      <c r="C369" s="3" t="s">
        <v>13</v>
      </c>
      <c r="D369" s="3" t="s">
        <v>29</v>
      </c>
      <c r="F369" s="3" t="s">
        <v>30</v>
      </c>
      <c r="G369" s="3">
        <v>15</v>
      </c>
      <c r="H369" s="3">
        <v>294</v>
      </c>
      <c r="I369" s="3" t="s">
        <v>478</v>
      </c>
      <c r="J369" s="3" t="s">
        <v>75</v>
      </c>
      <c r="K369" s="3" t="s">
        <v>83</v>
      </c>
    </row>
    <row r="370" spans="1:11" ht="14.5">
      <c r="A370" s="16" t="s">
        <v>159</v>
      </c>
      <c r="C370" s="3" t="s">
        <v>59</v>
      </c>
      <c r="D370" s="3" t="s">
        <v>14</v>
      </c>
      <c r="E370" s="4" t="s">
        <v>15</v>
      </c>
      <c r="F370" s="3" t="s">
        <v>273</v>
      </c>
      <c r="G370" s="3">
        <v>4</v>
      </c>
      <c r="H370" s="3">
        <v>489.72</v>
      </c>
      <c r="I370" s="3" t="s">
        <v>291</v>
      </c>
      <c r="J370" s="3" t="s">
        <v>93</v>
      </c>
      <c r="K370" s="3" t="s">
        <v>40</v>
      </c>
    </row>
    <row r="371" spans="1:11" ht="14.5">
      <c r="A371" s="16" t="s">
        <v>480</v>
      </c>
      <c r="B371" s="3" t="s">
        <v>35</v>
      </c>
      <c r="C371" s="3" t="s">
        <v>59</v>
      </c>
      <c r="D371" s="3" t="s">
        <v>36</v>
      </c>
      <c r="E371" s="4" t="s">
        <v>37</v>
      </c>
      <c r="F371" s="3" t="s">
        <v>71</v>
      </c>
      <c r="G371" s="3">
        <v>8</v>
      </c>
      <c r="H371" s="3">
        <v>270.41000000000003</v>
      </c>
      <c r="I371" s="3" t="s">
        <v>481</v>
      </c>
      <c r="J371" s="3" t="s">
        <v>18</v>
      </c>
    </row>
    <row r="372" spans="1:11" ht="14.5">
      <c r="A372" s="16" t="s">
        <v>375</v>
      </c>
      <c r="B372" s="3" t="s">
        <v>35</v>
      </c>
      <c r="C372" s="3" t="s">
        <v>13</v>
      </c>
      <c r="D372" s="3" t="s">
        <v>36</v>
      </c>
      <c r="E372" s="4" t="s">
        <v>43</v>
      </c>
      <c r="F372" s="3" t="s">
        <v>127</v>
      </c>
      <c r="G372" s="3">
        <v>1</v>
      </c>
      <c r="H372" s="3">
        <v>376.82</v>
      </c>
      <c r="I372" s="3" t="s">
        <v>215</v>
      </c>
      <c r="J372" s="3" t="s">
        <v>65</v>
      </c>
      <c r="K372" s="3" t="s">
        <v>52</v>
      </c>
    </row>
    <row r="373" spans="1:11" ht="14.5">
      <c r="A373" s="16" t="s">
        <v>482</v>
      </c>
      <c r="B373" s="3" t="s">
        <v>54</v>
      </c>
      <c r="C373" s="3" t="s">
        <v>13</v>
      </c>
      <c r="D373" s="3" t="s">
        <v>14</v>
      </c>
      <c r="E373" s="3" t="s">
        <v>24</v>
      </c>
      <c r="F373" s="3" t="s">
        <v>63</v>
      </c>
      <c r="G373" s="3">
        <v>12</v>
      </c>
      <c r="H373" s="3">
        <v>175.98</v>
      </c>
      <c r="I373" s="3" t="s">
        <v>270</v>
      </c>
      <c r="J373" s="3" t="s">
        <v>57</v>
      </c>
      <c r="K373" s="3" t="s">
        <v>19</v>
      </c>
    </row>
    <row r="374" spans="1:11" ht="14.5">
      <c r="A374" s="16" t="s">
        <v>137</v>
      </c>
      <c r="B374" s="3" t="s">
        <v>54</v>
      </c>
      <c r="C374" s="3" t="s">
        <v>62</v>
      </c>
      <c r="D374" s="3" t="s">
        <v>14</v>
      </c>
      <c r="E374" s="4" t="s">
        <v>43</v>
      </c>
      <c r="F374" s="3" t="s">
        <v>30</v>
      </c>
      <c r="G374" s="3">
        <v>1</v>
      </c>
      <c r="H374" s="3">
        <v>284.72000000000003</v>
      </c>
      <c r="I374" s="3" t="s">
        <v>331</v>
      </c>
      <c r="J374" s="3" t="s">
        <v>75</v>
      </c>
      <c r="K374" s="3" t="s">
        <v>33</v>
      </c>
    </row>
    <row r="375" spans="1:11" ht="14.5">
      <c r="A375" s="16" t="s">
        <v>483</v>
      </c>
      <c r="C375" s="3" t="s">
        <v>59</v>
      </c>
      <c r="D375" s="3" t="s">
        <v>47</v>
      </c>
      <c r="E375" s="3" t="s">
        <v>70</v>
      </c>
      <c r="F375" s="3" t="s">
        <v>213</v>
      </c>
      <c r="G375" s="3">
        <v>2</v>
      </c>
      <c r="H375" s="3">
        <v>422.92</v>
      </c>
      <c r="I375" s="3" t="s">
        <v>205</v>
      </c>
      <c r="J375" s="3" t="s">
        <v>75</v>
      </c>
      <c r="K375" s="3" t="s">
        <v>33</v>
      </c>
    </row>
    <row r="376" spans="1:11" ht="14.5">
      <c r="A376" s="16" t="s">
        <v>223</v>
      </c>
      <c r="B376" s="3" t="s">
        <v>146</v>
      </c>
      <c r="C376" s="3" t="s">
        <v>87</v>
      </c>
      <c r="D376" s="3" t="s">
        <v>36</v>
      </c>
      <c r="F376" s="3" t="s">
        <v>106</v>
      </c>
      <c r="G376" s="3">
        <v>10</v>
      </c>
      <c r="H376" s="3">
        <v>142.83000000000001</v>
      </c>
      <c r="I376" s="3" t="s">
        <v>167</v>
      </c>
      <c r="J376" s="3" t="s">
        <v>75</v>
      </c>
      <c r="K376" s="3" t="s">
        <v>80</v>
      </c>
    </row>
    <row r="377" spans="1:11" ht="14.5">
      <c r="A377" s="16" t="s">
        <v>350</v>
      </c>
      <c r="B377" s="3" t="s">
        <v>21</v>
      </c>
      <c r="C377" s="3" t="s">
        <v>59</v>
      </c>
      <c r="D377" s="3" t="s">
        <v>23</v>
      </c>
      <c r="E377" s="3" t="s">
        <v>70</v>
      </c>
      <c r="F377" s="3" t="s">
        <v>101</v>
      </c>
      <c r="G377" s="3">
        <v>5</v>
      </c>
      <c r="H377" s="3">
        <v>46.5</v>
      </c>
      <c r="I377" s="3" t="s">
        <v>366</v>
      </c>
      <c r="J377" s="3" t="s">
        <v>75</v>
      </c>
    </row>
    <row r="378" spans="1:11" ht="14.5">
      <c r="A378" s="16" t="s">
        <v>289</v>
      </c>
      <c r="B378" s="4" t="s">
        <v>12</v>
      </c>
      <c r="C378" s="3" t="s">
        <v>22</v>
      </c>
      <c r="D378" s="3" t="s">
        <v>50</v>
      </c>
      <c r="F378" s="3" t="s">
        <v>213</v>
      </c>
      <c r="G378" s="3">
        <v>6</v>
      </c>
      <c r="H378" s="3">
        <v>129.68</v>
      </c>
      <c r="I378" s="3" t="s">
        <v>484</v>
      </c>
      <c r="K378" s="3" t="s">
        <v>52</v>
      </c>
    </row>
    <row r="379" spans="1:11" ht="14.5">
      <c r="A379" s="16" t="s">
        <v>485</v>
      </c>
      <c r="B379" s="4" t="s">
        <v>12</v>
      </c>
      <c r="C379" s="3" t="s">
        <v>59</v>
      </c>
      <c r="D379" s="3" t="s">
        <v>23</v>
      </c>
      <c r="E379" s="4" t="s">
        <v>37</v>
      </c>
      <c r="F379" s="3" t="s">
        <v>88</v>
      </c>
      <c r="G379" s="3">
        <v>15</v>
      </c>
      <c r="H379" s="3">
        <v>329.23</v>
      </c>
      <c r="I379" s="3" t="s">
        <v>486</v>
      </c>
      <c r="J379" s="3" t="s">
        <v>75</v>
      </c>
    </row>
    <row r="380" spans="1:11" ht="14.5">
      <c r="A380" s="16" t="s">
        <v>487</v>
      </c>
      <c r="B380" s="3" t="s">
        <v>54</v>
      </c>
      <c r="C380" s="3" t="s">
        <v>13</v>
      </c>
      <c r="D380" s="3" t="s">
        <v>23</v>
      </c>
      <c r="E380" s="4" t="s">
        <v>37</v>
      </c>
      <c r="F380" s="3" t="s">
        <v>63</v>
      </c>
      <c r="G380" s="3">
        <v>3</v>
      </c>
      <c r="H380" s="3">
        <v>127.96</v>
      </c>
      <c r="I380" s="3" t="s">
        <v>147</v>
      </c>
    </row>
    <row r="381" spans="1:11" ht="14.5">
      <c r="A381" s="16" t="s">
        <v>34</v>
      </c>
      <c r="B381" s="3" t="s">
        <v>35</v>
      </c>
      <c r="C381" s="3" t="s">
        <v>13</v>
      </c>
      <c r="D381" s="3" t="s">
        <v>36</v>
      </c>
      <c r="E381" s="4" t="s">
        <v>37</v>
      </c>
      <c r="F381" s="3" t="s">
        <v>38</v>
      </c>
      <c r="G381" s="3">
        <v>1</v>
      </c>
      <c r="H381" s="3">
        <v>310.23</v>
      </c>
      <c r="I381" s="3" t="s">
        <v>39</v>
      </c>
      <c r="J381" s="3" t="s">
        <v>32</v>
      </c>
      <c r="K381" s="3" t="s">
        <v>40</v>
      </c>
    </row>
    <row r="382" spans="1:11" ht="14.5">
      <c r="A382" s="16" t="s">
        <v>161</v>
      </c>
      <c r="B382" s="4" t="s">
        <v>12</v>
      </c>
      <c r="C382" s="3" t="s">
        <v>13</v>
      </c>
      <c r="D382" s="3" t="s">
        <v>14</v>
      </c>
      <c r="E382" s="3" t="s">
        <v>70</v>
      </c>
      <c r="F382" s="3" t="s">
        <v>169</v>
      </c>
      <c r="G382" s="3">
        <v>17</v>
      </c>
      <c r="H382" s="3">
        <v>376.82</v>
      </c>
      <c r="I382" s="3" t="s">
        <v>130</v>
      </c>
      <c r="J382" s="3" t="s">
        <v>65</v>
      </c>
      <c r="K382" s="3" t="s">
        <v>83</v>
      </c>
    </row>
    <row r="383" spans="1:11" ht="14.5">
      <c r="A383" s="16" t="s">
        <v>488</v>
      </c>
      <c r="B383" s="3" t="s">
        <v>54</v>
      </c>
      <c r="C383" s="3" t="s">
        <v>77</v>
      </c>
      <c r="D383" s="3" t="s">
        <v>23</v>
      </c>
      <c r="E383" s="3" t="s">
        <v>24</v>
      </c>
      <c r="F383" s="3" t="s">
        <v>16</v>
      </c>
      <c r="G383" s="3">
        <v>10</v>
      </c>
      <c r="H383" s="3">
        <v>326.39</v>
      </c>
      <c r="I383" s="3" t="s">
        <v>277</v>
      </c>
      <c r="J383" s="3" t="s">
        <v>65</v>
      </c>
    </row>
    <row r="384" spans="1:11" ht="14.5">
      <c r="A384" s="16" t="s">
        <v>489</v>
      </c>
      <c r="B384" s="4" t="s">
        <v>12</v>
      </c>
      <c r="C384" s="3" t="s">
        <v>77</v>
      </c>
      <c r="D384" s="3" t="s">
        <v>29</v>
      </c>
      <c r="E384" s="3" t="s">
        <v>24</v>
      </c>
      <c r="F384" s="3" t="s">
        <v>30</v>
      </c>
      <c r="G384" s="3">
        <v>18</v>
      </c>
      <c r="H384" s="3">
        <v>191.94</v>
      </c>
      <c r="I384" s="3" t="s">
        <v>74</v>
      </c>
      <c r="J384" s="3" t="s">
        <v>93</v>
      </c>
      <c r="K384" s="3" t="s">
        <v>33</v>
      </c>
    </row>
    <row r="385" spans="1:11" ht="14.5">
      <c r="A385" s="16" t="s">
        <v>90</v>
      </c>
      <c r="B385" s="4" t="s">
        <v>12</v>
      </c>
      <c r="C385" s="3" t="s">
        <v>22</v>
      </c>
      <c r="D385" s="3" t="s">
        <v>29</v>
      </c>
      <c r="E385" s="4" t="s">
        <v>43</v>
      </c>
      <c r="F385" s="3" t="s">
        <v>71</v>
      </c>
      <c r="G385" s="3">
        <v>5</v>
      </c>
      <c r="H385" s="3">
        <v>408.71</v>
      </c>
      <c r="I385" s="3" t="s">
        <v>283</v>
      </c>
      <c r="J385" s="3" t="s">
        <v>93</v>
      </c>
    </row>
    <row r="386" spans="1:11" ht="14.5">
      <c r="A386" s="16" t="s">
        <v>490</v>
      </c>
      <c r="C386" s="3" t="s">
        <v>77</v>
      </c>
      <c r="D386" s="3" t="s">
        <v>50</v>
      </c>
      <c r="E386" s="4" t="s">
        <v>43</v>
      </c>
      <c r="F386" s="3" t="s">
        <v>30</v>
      </c>
      <c r="G386" s="3">
        <v>4</v>
      </c>
      <c r="H386" s="3">
        <v>127.19</v>
      </c>
      <c r="I386" s="3" t="s">
        <v>491</v>
      </c>
      <c r="J386" s="3" t="s">
        <v>32</v>
      </c>
      <c r="K386" s="3" t="s">
        <v>19</v>
      </c>
    </row>
    <row r="387" spans="1:11" ht="14.5">
      <c r="A387" s="16" t="s">
        <v>492</v>
      </c>
      <c r="B387" s="4" t="s">
        <v>12</v>
      </c>
      <c r="C387" s="3" t="s">
        <v>28</v>
      </c>
      <c r="D387" s="3" t="s">
        <v>47</v>
      </c>
      <c r="F387" s="3" t="s">
        <v>25</v>
      </c>
      <c r="G387" s="3">
        <v>6</v>
      </c>
      <c r="H387" s="3">
        <v>480.48</v>
      </c>
      <c r="I387" s="3" t="s">
        <v>60</v>
      </c>
      <c r="J387" s="3" t="s">
        <v>93</v>
      </c>
    </row>
    <row r="388" spans="1:11" ht="14.5">
      <c r="A388" s="16" t="s">
        <v>258</v>
      </c>
      <c r="B388" s="4" t="s">
        <v>12</v>
      </c>
      <c r="C388" s="3" t="s">
        <v>42</v>
      </c>
      <c r="D388" s="3" t="s">
        <v>50</v>
      </c>
      <c r="E388" s="4" t="s">
        <v>43</v>
      </c>
      <c r="F388" s="3" t="s">
        <v>25</v>
      </c>
      <c r="G388" s="3">
        <v>20</v>
      </c>
      <c r="H388" s="3">
        <v>16.64</v>
      </c>
      <c r="I388" s="3" t="s">
        <v>202</v>
      </c>
      <c r="J388" s="3" t="s">
        <v>75</v>
      </c>
    </row>
    <row r="389" spans="1:11" ht="14.5">
      <c r="A389" s="16" t="s">
        <v>493</v>
      </c>
      <c r="B389" s="3" t="s">
        <v>35</v>
      </c>
      <c r="C389" s="3" t="s">
        <v>59</v>
      </c>
      <c r="D389" s="3" t="s">
        <v>29</v>
      </c>
      <c r="E389" s="4" t="s">
        <v>15</v>
      </c>
      <c r="F389" s="3" t="s">
        <v>127</v>
      </c>
      <c r="G389" s="3">
        <v>20</v>
      </c>
      <c r="H389" s="3">
        <v>380.07</v>
      </c>
      <c r="I389" s="3" t="s">
        <v>181</v>
      </c>
      <c r="J389" s="3" t="s">
        <v>18</v>
      </c>
    </row>
    <row r="390" spans="1:11" ht="14.5">
      <c r="A390" s="16" t="s">
        <v>494</v>
      </c>
      <c r="B390" s="3" t="s">
        <v>35</v>
      </c>
      <c r="C390" s="3" t="s">
        <v>59</v>
      </c>
      <c r="D390" s="3" t="s">
        <v>47</v>
      </c>
      <c r="E390" s="3" t="s">
        <v>70</v>
      </c>
      <c r="F390" s="3" t="s">
        <v>78</v>
      </c>
      <c r="G390" s="3">
        <v>18</v>
      </c>
      <c r="H390" s="3">
        <v>491.17</v>
      </c>
      <c r="I390" s="3" t="s">
        <v>74</v>
      </c>
      <c r="J390" s="3" t="s">
        <v>32</v>
      </c>
      <c r="K390" s="3" t="s">
        <v>80</v>
      </c>
    </row>
    <row r="391" spans="1:11" ht="14.5">
      <c r="A391" s="16" t="s">
        <v>495</v>
      </c>
      <c r="C391" s="3" t="s">
        <v>62</v>
      </c>
      <c r="D391" s="3" t="s">
        <v>47</v>
      </c>
      <c r="E391" s="3" t="s">
        <v>24</v>
      </c>
      <c r="F391" s="3" t="s">
        <v>127</v>
      </c>
      <c r="G391" s="3">
        <v>20</v>
      </c>
      <c r="H391" s="3">
        <v>412.66</v>
      </c>
      <c r="I391" s="3" t="s">
        <v>405</v>
      </c>
      <c r="J391" s="3" t="s">
        <v>32</v>
      </c>
      <c r="K391" s="3" t="s">
        <v>40</v>
      </c>
    </row>
    <row r="392" spans="1:11" ht="14.5">
      <c r="A392" s="16" t="s">
        <v>116</v>
      </c>
      <c r="B392" s="3" t="s">
        <v>35</v>
      </c>
      <c r="C392" s="3" t="s">
        <v>62</v>
      </c>
      <c r="D392" s="3" t="s">
        <v>36</v>
      </c>
      <c r="E392" s="4" t="s">
        <v>37</v>
      </c>
      <c r="F392" s="3" t="s">
        <v>67</v>
      </c>
      <c r="G392" s="3">
        <v>6</v>
      </c>
      <c r="H392" s="3">
        <v>479.95</v>
      </c>
      <c r="I392" s="3" t="s">
        <v>220</v>
      </c>
      <c r="J392" s="3" t="s">
        <v>93</v>
      </c>
    </row>
    <row r="393" spans="1:11" ht="14.5">
      <c r="A393" s="16" t="s">
        <v>496</v>
      </c>
      <c r="B393" s="3" t="s">
        <v>21</v>
      </c>
      <c r="C393" s="3" t="s">
        <v>59</v>
      </c>
      <c r="D393" s="3" t="s">
        <v>36</v>
      </c>
      <c r="E393" s="4" t="s">
        <v>43</v>
      </c>
      <c r="F393" s="3" t="s">
        <v>71</v>
      </c>
      <c r="G393" s="3">
        <v>14</v>
      </c>
      <c r="H393" s="3">
        <v>499.7</v>
      </c>
      <c r="I393" s="3" t="s">
        <v>189</v>
      </c>
      <c r="K393" s="3" t="s">
        <v>19</v>
      </c>
    </row>
    <row r="394" spans="1:11" ht="14.5">
      <c r="A394" s="16" t="s">
        <v>455</v>
      </c>
      <c r="B394" s="3" t="s">
        <v>35</v>
      </c>
      <c r="C394" s="3" t="s">
        <v>59</v>
      </c>
      <c r="D394" s="3" t="s">
        <v>14</v>
      </c>
      <c r="E394" s="4" t="s">
        <v>43</v>
      </c>
      <c r="F394" s="3" t="s">
        <v>63</v>
      </c>
      <c r="G394" s="3">
        <v>14</v>
      </c>
      <c r="H394" s="3">
        <v>62.61</v>
      </c>
      <c r="I394" s="3" t="s">
        <v>280</v>
      </c>
      <c r="K394" s="3" t="s">
        <v>80</v>
      </c>
    </row>
    <row r="395" spans="1:11" ht="14.5">
      <c r="A395" s="16" t="s">
        <v>193</v>
      </c>
      <c r="B395" s="3" t="s">
        <v>54</v>
      </c>
      <c r="C395" s="3" t="s">
        <v>62</v>
      </c>
      <c r="D395" s="3" t="s">
        <v>50</v>
      </c>
      <c r="E395" s="3" t="s">
        <v>70</v>
      </c>
      <c r="F395" s="3" t="s">
        <v>183</v>
      </c>
      <c r="G395" s="3">
        <v>1</v>
      </c>
      <c r="H395" s="3">
        <v>293.75</v>
      </c>
      <c r="I395" s="3" t="s">
        <v>245</v>
      </c>
      <c r="J395" s="3" t="s">
        <v>18</v>
      </c>
      <c r="K395" s="3" t="s">
        <v>52</v>
      </c>
    </row>
    <row r="396" spans="1:11" ht="14.5">
      <c r="A396" s="16" t="s">
        <v>497</v>
      </c>
      <c r="B396" s="3" t="s">
        <v>46</v>
      </c>
      <c r="C396" s="3" t="s">
        <v>59</v>
      </c>
      <c r="D396" s="3" t="s">
        <v>36</v>
      </c>
      <c r="E396" s="4" t="s">
        <v>37</v>
      </c>
      <c r="F396" s="3" t="s">
        <v>88</v>
      </c>
      <c r="G396" s="3">
        <v>19</v>
      </c>
      <c r="H396" s="3">
        <v>401.44</v>
      </c>
      <c r="I396" s="3" t="s">
        <v>430</v>
      </c>
      <c r="J396" s="3" t="s">
        <v>57</v>
      </c>
      <c r="K396" s="3" t="s">
        <v>83</v>
      </c>
    </row>
    <row r="397" spans="1:11" ht="14.5">
      <c r="A397" s="16" t="s">
        <v>489</v>
      </c>
      <c r="B397" s="3" t="s">
        <v>146</v>
      </c>
      <c r="C397" s="3" t="s">
        <v>22</v>
      </c>
      <c r="D397" s="3" t="s">
        <v>50</v>
      </c>
      <c r="F397" s="3" t="s">
        <v>213</v>
      </c>
      <c r="G397" s="3">
        <v>1</v>
      </c>
      <c r="H397" s="3">
        <v>84.34</v>
      </c>
      <c r="I397" s="3" t="s">
        <v>267</v>
      </c>
      <c r="J397" s="3" t="s">
        <v>32</v>
      </c>
      <c r="K397" s="3" t="s">
        <v>80</v>
      </c>
    </row>
    <row r="398" spans="1:11" ht="14.5">
      <c r="A398" s="16" t="s">
        <v>498</v>
      </c>
      <c r="B398" s="4" t="s">
        <v>12</v>
      </c>
      <c r="C398" s="3" t="s">
        <v>42</v>
      </c>
      <c r="D398" s="3" t="s">
        <v>36</v>
      </c>
      <c r="E398" s="4" t="s">
        <v>43</v>
      </c>
      <c r="F398" s="3" t="s">
        <v>183</v>
      </c>
      <c r="G398" s="3">
        <v>16</v>
      </c>
      <c r="H398" s="3">
        <v>77.040000000000006</v>
      </c>
      <c r="I398" s="3" t="s">
        <v>97</v>
      </c>
      <c r="J398" s="3" t="s">
        <v>57</v>
      </c>
      <c r="K398" s="3" t="s">
        <v>19</v>
      </c>
    </row>
    <row r="399" spans="1:11" ht="14.5">
      <c r="A399" s="16" t="s">
        <v>499</v>
      </c>
      <c r="B399" s="3" t="s">
        <v>54</v>
      </c>
      <c r="C399" s="3" t="s">
        <v>59</v>
      </c>
      <c r="D399" s="3" t="s">
        <v>36</v>
      </c>
      <c r="E399" s="4" t="s">
        <v>15</v>
      </c>
      <c r="F399" s="3" t="s">
        <v>112</v>
      </c>
      <c r="G399" s="3">
        <v>11</v>
      </c>
      <c r="H399" s="3">
        <v>499.23</v>
      </c>
      <c r="I399" s="3" t="s">
        <v>323</v>
      </c>
      <c r="J399" s="3" t="s">
        <v>32</v>
      </c>
      <c r="K399" s="3" t="s">
        <v>83</v>
      </c>
    </row>
    <row r="400" spans="1:11" ht="14.5">
      <c r="A400" s="16" t="s">
        <v>500</v>
      </c>
      <c r="B400" s="4" t="s">
        <v>12</v>
      </c>
      <c r="C400" s="3" t="s">
        <v>59</v>
      </c>
      <c r="D400" s="3" t="s">
        <v>14</v>
      </c>
      <c r="E400" s="4" t="s">
        <v>43</v>
      </c>
      <c r="F400" s="3" t="s">
        <v>127</v>
      </c>
      <c r="G400" s="3">
        <v>13</v>
      </c>
      <c r="H400" s="3">
        <v>384.49</v>
      </c>
      <c r="I400" s="3" t="s">
        <v>64</v>
      </c>
      <c r="J400" s="3" t="s">
        <v>93</v>
      </c>
      <c r="K400" s="3" t="s">
        <v>52</v>
      </c>
    </row>
    <row r="401" spans="1:11" ht="14.5">
      <c r="A401" s="16" t="s">
        <v>461</v>
      </c>
      <c r="B401" s="3" t="s">
        <v>35</v>
      </c>
      <c r="C401" s="3" t="s">
        <v>22</v>
      </c>
      <c r="D401" s="3" t="s">
        <v>29</v>
      </c>
      <c r="E401" s="4" t="s">
        <v>43</v>
      </c>
      <c r="F401" s="3" t="s">
        <v>213</v>
      </c>
      <c r="G401" s="3">
        <v>16</v>
      </c>
      <c r="H401" s="3">
        <v>309.73</v>
      </c>
      <c r="I401" s="3" t="s">
        <v>207</v>
      </c>
      <c r="J401" s="3" t="s">
        <v>57</v>
      </c>
      <c r="K401" s="3" t="s">
        <v>83</v>
      </c>
    </row>
    <row r="402" spans="1:11" ht="14.5">
      <c r="A402" s="16" t="s">
        <v>411</v>
      </c>
      <c r="B402" s="3" t="s">
        <v>54</v>
      </c>
      <c r="C402" s="3" t="s">
        <v>22</v>
      </c>
      <c r="D402" s="3" t="s">
        <v>50</v>
      </c>
      <c r="E402" s="3" t="s">
        <v>24</v>
      </c>
      <c r="F402" s="3" t="s">
        <v>25</v>
      </c>
      <c r="G402" s="3">
        <v>2</v>
      </c>
      <c r="H402" s="3">
        <v>79.59</v>
      </c>
      <c r="I402" s="3" t="s">
        <v>219</v>
      </c>
      <c r="J402" s="3" t="s">
        <v>57</v>
      </c>
      <c r="K402" s="3" t="s">
        <v>83</v>
      </c>
    </row>
    <row r="403" spans="1:11" ht="14.5">
      <c r="A403" s="16" t="s">
        <v>492</v>
      </c>
      <c r="B403" s="3" t="s">
        <v>35</v>
      </c>
      <c r="C403" s="3" t="s">
        <v>28</v>
      </c>
      <c r="D403" s="3" t="s">
        <v>47</v>
      </c>
      <c r="F403" s="3" t="s">
        <v>25</v>
      </c>
      <c r="G403" s="3">
        <v>16</v>
      </c>
      <c r="H403" s="3">
        <v>189.78</v>
      </c>
      <c r="I403" s="3" t="s">
        <v>501</v>
      </c>
      <c r="J403" s="3" t="s">
        <v>75</v>
      </c>
      <c r="K403" s="3" t="s">
        <v>19</v>
      </c>
    </row>
    <row r="404" spans="1:11" ht="14.5">
      <c r="A404" s="16" t="s">
        <v>502</v>
      </c>
      <c r="B404" s="3" t="s">
        <v>54</v>
      </c>
      <c r="C404" s="3" t="s">
        <v>13</v>
      </c>
      <c r="D404" s="3" t="s">
        <v>29</v>
      </c>
      <c r="E404" s="3" t="s">
        <v>24</v>
      </c>
      <c r="F404" s="3" t="s">
        <v>117</v>
      </c>
      <c r="G404" s="3">
        <v>12</v>
      </c>
      <c r="H404" s="3">
        <v>383.15</v>
      </c>
      <c r="I404" s="3" t="s">
        <v>298</v>
      </c>
      <c r="J404" s="3" t="s">
        <v>32</v>
      </c>
      <c r="K404" s="3" t="s">
        <v>52</v>
      </c>
    </row>
    <row r="405" spans="1:11" ht="14.5">
      <c r="A405" s="16" t="s">
        <v>227</v>
      </c>
      <c r="B405" s="3" t="s">
        <v>46</v>
      </c>
      <c r="C405" s="3" t="s">
        <v>62</v>
      </c>
      <c r="D405" s="3" t="s">
        <v>14</v>
      </c>
      <c r="E405" s="4" t="s">
        <v>43</v>
      </c>
      <c r="F405" s="3" t="s">
        <v>71</v>
      </c>
      <c r="G405" s="3">
        <v>11</v>
      </c>
      <c r="H405" s="3">
        <v>417.12</v>
      </c>
      <c r="I405" s="3" t="s">
        <v>503</v>
      </c>
    </row>
    <row r="406" spans="1:11" ht="14.5">
      <c r="A406" s="16" t="s">
        <v>504</v>
      </c>
      <c r="B406" s="4" t="s">
        <v>12</v>
      </c>
      <c r="C406" s="3" t="s">
        <v>62</v>
      </c>
      <c r="D406" s="3" t="s">
        <v>50</v>
      </c>
      <c r="F406" s="3" t="s">
        <v>117</v>
      </c>
      <c r="G406" s="3">
        <v>2</v>
      </c>
      <c r="H406" s="3">
        <v>344.67</v>
      </c>
      <c r="I406" s="3" t="s">
        <v>505</v>
      </c>
      <c r="J406" s="3" t="s">
        <v>65</v>
      </c>
      <c r="K406" s="3" t="s">
        <v>33</v>
      </c>
    </row>
    <row r="407" spans="1:11" ht="14.5">
      <c r="A407" s="16" t="s">
        <v>497</v>
      </c>
      <c r="B407" s="3" t="s">
        <v>146</v>
      </c>
      <c r="C407" s="3" t="s">
        <v>77</v>
      </c>
      <c r="D407" s="3" t="s">
        <v>47</v>
      </c>
      <c r="E407" s="4" t="s">
        <v>43</v>
      </c>
      <c r="F407" s="3" t="s">
        <v>273</v>
      </c>
      <c r="G407" s="3">
        <v>12</v>
      </c>
      <c r="H407" s="3">
        <v>301.61</v>
      </c>
      <c r="I407" s="3" t="s">
        <v>356</v>
      </c>
      <c r="J407" s="3" t="s">
        <v>57</v>
      </c>
      <c r="K407" s="3" t="s">
        <v>52</v>
      </c>
    </row>
    <row r="408" spans="1:11" ht="14.5">
      <c r="A408" s="16" t="s">
        <v>259</v>
      </c>
      <c r="B408" s="4" t="s">
        <v>12</v>
      </c>
      <c r="C408" s="3" t="s">
        <v>87</v>
      </c>
      <c r="D408" s="3" t="s">
        <v>23</v>
      </c>
      <c r="E408" s="4" t="s">
        <v>37</v>
      </c>
      <c r="F408" s="3" t="s">
        <v>25</v>
      </c>
      <c r="G408" s="3">
        <v>5</v>
      </c>
      <c r="H408" s="3">
        <v>123.13</v>
      </c>
      <c r="I408" s="3" t="s">
        <v>130</v>
      </c>
      <c r="J408" s="3" t="s">
        <v>65</v>
      </c>
      <c r="K408" s="3" t="s">
        <v>40</v>
      </c>
    </row>
    <row r="409" spans="1:11" ht="14.5">
      <c r="A409" s="16" t="s">
        <v>126</v>
      </c>
      <c r="C409" s="3" t="s">
        <v>59</v>
      </c>
      <c r="D409" s="3" t="s">
        <v>14</v>
      </c>
      <c r="F409" s="3" t="s">
        <v>127</v>
      </c>
      <c r="G409" s="3">
        <v>18</v>
      </c>
      <c r="H409" s="3">
        <v>69.06</v>
      </c>
      <c r="I409" s="3" t="s">
        <v>128</v>
      </c>
      <c r="K409" s="3" t="s">
        <v>33</v>
      </c>
    </row>
    <row r="410" spans="1:11" ht="14.5">
      <c r="A410" s="16" t="s">
        <v>506</v>
      </c>
      <c r="B410" s="3" t="s">
        <v>46</v>
      </c>
      <c r="C410" s="3" t="s">
        <v>42</v>
      </c>
      <c r="D410" s="3" t="s">
        <v>36</v>
      </c>
      <c r="E410" s="4" t="s">
        <v>37</v>
      </c>
      <c r="F410" s="3" t="s">
        <v>30</v>
      </c>
      <c r="G410" s="3">
        <v>13</v>
      </c>
      <c r="H410" s="3">
        <v>103.77</v>
      </c>
      <c r="I410" s="3" t="s">
        <v>219</v>
      </c>
      <c r="J410" s="3" t="s">
        <v>18</v>
      </c>
      <c r="K410" s="3" t="s">
        <v>80</v>
      </c>
    </row>
    <row r="411" spans="1:11" ht="14.5">
      <c r="A411" s="16" t="s">
        <v>507</v>
      </c>
      <c r="B411" s="3" t="s">
        <v>21</v>
      </c>
      <c r="C411" s="3" t="s">
        <v>42</v>
      </c>
      <c r="D411" s="3" t="s">
        <v>47</v>
      </c>
      <c r="E411" s="3" t="s">
        <v>70</v>
      </c>
      <c r="F411" s="3" t="s">
        <v>67</v>
      </c>
      <c r="G411" s="3">
        <v>6</v>
      </c>
      <c r="H411" s="3">
        <v>112.15</v>
      </c>
      <c r="I411" s="3" t="s">
        <v>407</v>
      </c>
      <c r="K411" s="3" t="s">
        <v>33</v>
      </c>
    </row>
    <row r="412" spans="1:11" ht="14.5">
      <c r="A412" s="16" t="s">
        <v>385</v>
      </c>
      <c r="B412" s="3" t="s">
        <v>46</v>
      </c>
      <c r="C412" s="3" t="s">
        <v>87</v>
      </c>
      <c r="D412" s="3" t="s">
        <v>23</v>
      </c>
      <c r="E412" s="4" t="s">
        <v>43</v>
      </c>
      <c r="F412" s="3" t="s">
        <v>183</v>
      </c>
      <c r="G412" s="3">
        <v>7</v>
      </c>
      <c r="H412" s="3">
        <v>300.8</v>
      </c>
      <c r="I412" s="3" t="s">
        <v>508</v>
      </c>
      <c r="J412" s="3" t="s">
        <v>75</v>
      </c>
      <c r="K412" s="3" t="s">
        <v>52</v>
      </c>
    </row>
    <row r="413" spans="1:11" ht="14.5">
      <c r="A413" s="16" t="s">
        <v>20</v>
      </c>
      <c r="B413" s="3" t="s">
        <v>54</v>
      </c>
      <c r="C413" s="3" t="s">
        <v>77</v>
      </c>
      <c r="D413" s="3" t="s">
        <v>47</v>
      </c>
      <c r="E413" s="3" t="s">
        <v>70</v>
      </c>
      <c r="F413" s="3" t="s">
        <v>101</v>
      </c>
      <c r="G413" s="3">
        <v>6</v>
      </c>
      <c r="H413" s="3">
        <v>491.58</v>
      </c>
      <c r="I413" s="3" t="s">
        <v>509</v>
      </c>
      <c r="J413" s="3" t="s">
        <v>65</v>
      </c>
      <c r="K413" s="3" t="s">
        <v>33</v>
      </c>
    </row>
    <row r="414" spans="1:11" ht="14.5">
      <c r="A414" s="16" t="s">
        <v>510</v>
      </c>
      <c r="B414" s="3" t="s">
        <v>21</v>
      </c>
      <c r="C414" s="3" t="s">
        <v>59</v>
      </c>
      <c r="D414" s="3" t="s">
        <v>14</v>
      </c>
      <c r="E414" s="3" t="s">
        <v>70</v>
      </c>
      <c r="F414" s="3" t="s">
        <v>38</v>
      </c>
      <c r="G414" s="3">
        <v>9</v>
      </c>
      <c r="H414" s="3">
        <v>340.47</v>
      </c>
      <c r="I414" s="3" t="s">
        <v>123</v>
      </c>
      <c r="J414" s="3" t="s">
        <v>57</v>
      </c>
      <c r="K414" s="3" t="s">
        <v>33</v>
      </c>
    </row>
    <row r="415" spans="1:11" ht="14.5">
      <c r="A415" s="16" t="s">
        <v>511</v>
      </c>
      <c r="B415" s="4" t="s">
        <v>12</v>
      </c>
      <c r="C415" s="3" t="s">
        <v>62</v>
      </c>
      <c r="D415" s="3" t="s">
        <v>23</v>
      </c>
      <c r="E415" s="4" t="s">
        <v>43</v>
      </c>
      <c r="F415" s="3" t="s">
        <v>101</v>
      </c>
      <c r="G415" s="3">
        <v>6</v>
      </c>
      <c r="H415" s="3">
        <v>269.70999999999998</v>
      </c>
      <c r="I415" s="3" t="s">
        <v>512</v>
      </c>
      <c r="J415" s="3" t="s">
        <v>32</v>
      </c>
      <c r="K415" s="3" t="s">
        <v>33</v>
      </c>
    </row>
    <row r="416" spans="1:11" ht="14.5">
      <c r="A416" s="16" t="s">
        <v>513</v>
      </c>
      <c r="B416" s="3" t="s">
        <v>146</v>
      </c>
      <c r="C416" s="3" t="s">
        <v>59</v>
      </c>
      <c r="D416" s="3" t="s">
        <v>47</v>
      </c>
      <c r="E416" s="4" t="s">
        <v>43</v>
      </c>
      <c r="F416" s="3" t="s">
        <v>106</v>
      </c>
      <c r="G416" s="3">
        <v>6</v>
      </c>
      <c r="H416" s="3">
        <v>363.2</v>
      </c>
      <c r="I416" s="3" t="s">
        <v>514</v>
      </c>
      <c r="K416" s="3" t="s">
        <v>40</v>
      </c>
    </row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tabSelected="1" workbookViewId="0">
      <selection sqref="A1:A1048576"/>
    </sheetView>
  </sheetViews>
  <sheetFormatPr defaultColWidth="14.453125" defaultRowHeight="15" customHeight="1"/>
  <cols>
    <col min="1" max="1" width="13.7265625" customWidth="1"/>
    <col min="2" max="2" width="16.54296875" customWidth="1"/>
    <col min="3" max="3" width="12.26953125" customWidth="1"/>
    <col min="4" max="4" width="14.54296875" customWidth="1"/>
    <col min="5" max="5" width="20.81640625" customWidth="1"/>
    <col min="6" max="6" width="17.08984375" customWidth="1"/>
    <col min="7" max="7" width="14.81640625" customWidth="1"/>
    <col min="8" max="8" width="13.08984375" customWidth="1"/>
    <col min="9" max="9" width="15.08984375" customWidth="1"/>
    <col min="10" max="10" width="14.81640625" customWidth="1"/>
    <col min="11" max="12" width="13.7265625" customWidth="1"/>
    <col min="13" max="13" width="28.7265625" customWidth="1"/>
    <col min="14" max="14" width="18.54296875" customWidth="1"/>
    <col min="15" max="15" width="24.81640625" customWidth="1"/>
    <col min="16" max="16" width="15.7265625" customWidth="1"/>
    <col min="17" max="17" width="21.453125" customWidth="1"/>
    <col min="18" max="32" width="8.7265625" customWidth="1"/>
  </cols>
  <sheetData>
    <row r="1" spans="1:17" ht="14.25" customHeight="1">
      <c r="A1" s="5" t="s">
        <v>0</v>
      </c>
      <c r="B1" s="6" t="s">
        <v>515</v>
      </c>
      <c r="C1" s="7" t="s">
        <v>1</v>
      </c>
      <c r="D1" s="7" t="s">
        <v>2</v>
      </c>
      <c r="E1" s="6" t="s">
        <v>516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6" t="s">
        <v>517</v>
      </c>
      <c r="L1" s="7" t="s">
        <v>8</v>
      </c>
      <c r="M1" s="6" t="s">
        <v>518</v>
      </c>
      <c r="N1" s="7" t="s">
        <v>9</v>
      </c>
      <c r="O1" s="6" t="s">
        <v>519</v>
      </c>
      <c r="P1" s="7" t="s">
        <v>10</v>
      </c>
      <c r="Q1" s="7" t="s">
        <v>520</v>
      </c>
    </row>
    <row r="2" spans="1:17" ht="14.25" customHeight="1">
      <c r="A2" s="8">
        <v>45296</v>
      </c>
      <c r="B2" s="9" t="str">
        <f t="shared" ref="B2:B416" si="0">TRIM(C2)</f>
        <v>North</v>
      </c>
      <c r="C2" s="9" t="s">
        <v>12</v>
      </c>
      <c r="D2" s="10" t="s">
        <v>13</v>
      </c>
      <c r="E2" s="10" t="str">
        <f t="shared" ref="E2:E416" si="1">PROPER(D2)</f>
        <v>Faith</v>
      </c>
      <c r="F2" s="10" t="s">
        <v>14</v>
      </c>
      <c r="G2" s="9" t="s">
        <v>15</v>
      </c>
      <c r="H2" s="10" t="s">
        <v>16</v>
      </c>
      <c r="I2" s="10">
        <v>15</v>
      </c>
      <c r="J2" s="10">
        <v>78.92</v>
      </c>
      <c r="K2" s="10">
        <f t="shared" ref="K2:K401" si="2">I2*J2</f>
        <v>1183.8</v>
      </c>
      <c r="L2" s="10" t="s">
        <v>17</v>
      </c>
      <c r="M2" s="10" t="str">
        <f t="shared" ref="M2:M416" si="3">UPPER(N2)</f>
        <v>BANK TRANSFER</v>
      </c>
      <c r="N2" s="10" t="s">
        <v>18</v>
      </c>
      <c r="O2" s="10" t="str">
        <f t="shared" ref="O2:O416" si="4">PROPER(N2)</f>
        <v>Bank Transfer</v>
      </c>
      <c r="P2" s="10" t="s">
        <v>19</v>
      </c>
      <c r="Q2" s="10" t="str">
        <f t="shared" ref="Q2:Q416" si="5">PROPER(P2)</f>
        <v>Double Entry</v>
      </c>
    </row>
    <row r="3" spans="1:17" ht="14.25" customHeight="1">
      <c r="A3" s="8">
        <v>45421</v>
      </c>
      <c r="B3" s="10" t="str">
        <f t="shared" si="0"/>
        <v>South</v>
      </c>
      <c r="C3" s="10" t="s">
        <v>21</v>
      </c>
      <c r="D3" s="10" t="s">
        <v>22</v>
      </c>
      <c r="E3" s="10" t="str">
        <f t="shared" si="1"/>
        <v>Bob</v>
      </c>
      <c r="F3" s="10" t="s">
        <v>23</v>
      </c>
      <c r="G3" s="10" t="s">
        <v>24</v>
      </c>
      <c r="H3" s="10" t="s">
        <v>25</v>
      </c>
      <c r="I3" s="10">
        <v>16</v>
      </c>
      <c r="J3" s="10">
        <v>400.15</v>
      </c>
      <c r="K3" s="10">
        <f t="shared" si="2"/>
        <v>6402.4</v>
      </c>
      <c r="L3" s="10" t="s">
        <v>26</v>
      </c>
      <c r="M3" s="9" t="str">
        <f t="shared" si="3"/>
        <v>UNKONWN</v>
      </c>
      <c r="N3" s="9" t="s">
        <v>521</v>
      </c>
      <c r="O3" s="9" t="str">
        <f t="shared" si="4"/>
        <v>Unkonwn</v>
      </c>
      <c r="P3" s="10" t="s">
        <v>19</v>
      </c>
      <c r="Q3" s="10" t="str">
        <f t="shared" si="5"/>
        <v>Double Entry</v>
      </c>
    </row>
    <row r="4" spans="1:17" ht="14.25" customHeight="1">
      <c r="A4" s="8">
        <v>45343</v>
      </c>
      <c r="B4" s="9" t="str">
        <f t="shared" si="0"/>
        <v>Unknow</v>
      </c>
      <c r="C4" s="9" t="s">
        <v>522</v>
      </c>
      <c r="D4" s="10" t="s">
        <v>28</v>
      </c>
      <c r="E4" s="10" t="str">
        <f t="shared" si="1"/>
        <v>George</v>
      </c>
      <c r="F4" s="10" t="s">
        <v>29</v>
      </c>
      <c r="G4" s="10" t="s">
        <v>24</v>
      </c>
      <c r="H4" s="10" t="s">
        <v>30</v>
      </c>
      <c r="I4" s="10">
        <v>1</v>
      </c>
      <c r="J4" s="10">
        <v>85.59</v>
      </c>
      <c r="K4" s="10">
        <f t="shared" si="2"/>
        <v>85.59</v>
      </c>
      <c r="L4" s="10" t="s">
        <v>31</v>
      </c>
      <c r="M4" s="10" t="str">
        <f t="shared" si="3"/>
        <v>MOBILE MONEY</v>
      </c>
      <c r="N4" s="10" t="s">
        <v>32</v>
      </c>
      <c r="O4" s="10" t="str">
        <f t="shared" si="4"/>
        <v>Mobile Money</v>
      </c>
      <c r="P4" s="10" t="s">
        <v>33</v>
      </c>
      <c r="Q4" s="10" t="str">
        <f t="shared" si="5"/>
        <v>Priority</v>
      </c>
    </row>
    <row r="5" spans="1:17" ht="14.25" customHeight="1">
      <c r="A5" s="8">
        <v>45567</v>
      </c>
      <c r="B5" s="10" t="str">
        <f t="shared" si="0"/>
        <v>East</v>
      </c>
      <c r="C5" s="10" t="s">
        <v>35</v>
      </c>
      <c r="D5" s="10" t="s">
        <v>13</v>
      </c>
      <c r="E5" s="10" t="str">
        <f t="shared" si="1"/>
        <v>Faith</v>
      </c>
      <c r="F5" s="10" t="s">
        <v>36</v>
      </c>
      <c r="G5" s="9" t="s">
        <v>37</v>
      </c>
      <c r="H5" s="10" t="s">
        <v>38</v>
      </c>
      <c r="I5" s="10">
        <v>1</v>
      </c>
      <c r="J5" s="10">
        <v>310.23</v>
      </c>
      <c r="K5" s="10">
        <f t="shared" si="2"/>
        <v>310.23</v>
      </c>
      <c r="L5" s="10" t="s">
        <v>39</v>
      </c>
      <c r="M5" s="10" t="str">
        <f t="shared" si="3"/>
        <v>MOBILE MONEY</v>
      </c>
      <c r="N5" s="10" t="s">
        <v>32</v>
      </c>
      <c r="O5" s="10" t="str">
        <f t="shared" si="4"/>
        <v>Mobile Money</v>
      </c>
      <c r="P5" s="10" t="s">
        <v>40</v>
      </c>
      <c r="Q5" s="10" t="str">
        <f t="shared" si="5"/>
        <v>Urgent</v>
      </c>
    </row>
    <row r="6" spans="1:17" ht="14.25" customHeight="1">
      <c r="A6" s="8">
        <v>45306</v>
      </c>
      <c r="B6" s="10" t="str">
        <f t="shared" si="0"/>
        <v>South</v>
      </c>
      <c r="C6" s="10" t="s">
        <v>21</v>
      </c>
      <c r="D6" s="10" t="s">
        <v>42</v>
      </c>
      <c r="E6" s="10" t="str">
        <f t="shared" si="1"/>
        <v>Alice</v>
      </c>
      <c r="F6" s="10" t="s">
        <v>29</v>
      </c>
      <c r="G6" s="9" t="s">
        <v>43</v>
      </c>
      <c r="H6" s="10" t="s">
        <v>30</v>
      </c>
      <c r="I6" s="10">
        <v>7</v>
      </c>
      <c r="J6" s="10">
        <v>217.35</v>
      </c>
      <c r="K6" s="10">
        <f t="shared" si="2"/>
        <v>1521.45</v>
      </c>
      <c r="L6" s="10" t="s">
        <v>44</v>
      </c>
      <c r="M6" s="10" t="str">
        <f t="shared" si="3"/>
        <v>MOBILE MONEY</v>
      </c>
      <c r="N6" s="10" t="s">
        <v>32</v>
      </c>
      <c r="O6" s="10" t="str">
        <f t="shared" si="4"/>
        <v>Mobile Money</v>
      </c>
      <c r="P6" s="10" t="s">
        <v>19</v>
      </c>
      <c r="Q6" s="10" t="str">
        <f t="shared" si="5"/>
        <v>Double Entry</v>
      </c>
    </row>
    <row r="7" spans="1:17" ht="14.25" customHeight="1">
      <c r="A7" s="8">
        <v>45295</v>
      </c>
      <c r="B7" s="10" t="str">
        <f t="shared" si="0"/>
        <v>SOUTH</v>
      </c>
      <c r="C7" s="10" t="s">
        <v>46</v>
      </c>
      <c r="D7" s="10" t="s">
        <v>42</v>
      </c>
      <c r="E7" s="10" t="str">
        <f t="shared" si="1"/>
        <v>Alice</v>
      </c>
      <c r="F7" s="10" t="s">
        <v>47</v>
      </c>
      <c r="G7" s="9" t="s">
        <v>43</v>
      </c>
      <c r="H7" s="10" t="s">
        <v>16</v>
      </c>
      <c r="I7" s="10">
        <v>17</v>
      </c>
      <c r="J7" s="10">
        <v>172.44</v>
      </c>
      <c r="K7" s="10">
        <f t="shared" si="2"/>
        <v>2931.48</v>
      </c>
      <c r="L7" s="10" t="s">
        <v>48</v>
      </c>
      <c r="M7" s="10" t="str">
        <f t="shared" si="3"/>
        <v>MOBILE MONEY</v>
      </c>
      <c r="N7" s="10" t="s">
        <v>32</v>
      </c>
      <c r="O7" s="10" t="str">
        <f t="shared" si="4"/>
        <v>Mobile Money</v>
      </c>
      <c r="P7" s="10" t="s">
        <v>40</v>
      </c>
      <c r="Q7" s="10" t="str">
        <f t="shared" si="5"/>
        <v>Urgent</v>
      </c>
    </row>
    <row r="8" spans="1:17" ht="14.25" customHeight="1">
      <c r="A8" s="8">
        <v>45445</v>
      </c>
      <c r="B8" s="10" t="str">
        <f t="shared" si="0"/>
        <v>East</v>
      </c>
      <c r="C8" s="10" t="s">
        <v>35</v>
      </c>
      <c r="D8" s="10" t="s">
        <v>28</v>
      </c>
      <c r="E8" s="10" t="str">
        <f t="shared" si="1"/>
        <v>George</v>
      </c>
      <c r="F8" s="10" t="s">
        <v>50</v>
      </c>
      <c r="G8" s="10" t="s">
        <v>24</v>
      </c>
      <c r="H8" s="10" t="s">
        <v>30</v>
      </c>
      <c r="I8" s="10">
        <v>8</v>
      </c>
      <c r="J8" s="10">
        <v>293.04000000000002</v>
      </c>
      <c r="K8" s="10">
        <f t="shared" si="2"/>
        <v>2344.3200000000002</v>
      </c>
      <c r="L8" s="10" t="s">
        <v>51</v>
      </c>
      <c r="M8" s="10" t="str">
        <f t="shared" si="3"/>
        <v>MOBILE MONEY</v>
      </c>
      <c r="N8" s="10" t="s">
        <v>32</v>
      </c>
      <c r="O8" s="10" t="str">
        <f t="shared" si="4"/>
        <v>Mobile Money</v>
      </c>
      <c r="P8" s="10" t="s">
        <v>52</v>
      </c>
      <c r="Q8" s="10" t="str">
        <f t="shared" si="5"/>
        <v>Follow Up</v>
      </c>
    </row>
    <row r="9" spans="1:17" ht="14.25" customHeight="1">
      <c r="A9" s="8">
        <v>45578</v>
      </c>
      <c r="B9" s="10" t="str">
        <f t="shared" si="0"/>
        <v>West</v>
      </c>
      <c r="C9" s="10" t="s">
        <v>54</v>
      </c>
      <c r="D9" s="10" t="s">
        <v>42</v>
      </c>
      <c r="E9" s="10" t="str">
        <f t="shared" si="1"/>
        <v>Alice</v>
      </c>
      <c r="F9" s="10" t="s">
        <v>14</v>
      </c>
      <c r="G9" s="9" t="s">
        <v>15</v>
      </c>
      <c r="H9" s="10" t="s">
        <v>55</v>
      </c>
      <c r="I9" s="10">
        <v>12</v>
      </c>
      <c r="J9" s="10">
        <v>325.14999999999998</v>
      </c>
      <c r="K9" s="10">
        <f t="shared" si="2"/>
        <v>3901.7999999999997</v>
      </c>
      <c r="L9" s="10" t="s">
        <v>56</v>
      </c>
      <c r="M9" s="10" t="str">
        <f t="shared" si="3"/>
        <v xml:space="preserve">MOBILE MONEY </v>
      </c>
      <c r="N9" s="10" t="s">
        <v>57</v>
      </c>
      <c r="O9" s="10" t="str">
        <f t="shared" si="4"/>
        <v xml:space="preserve">Mobile Money </v>
      </c>
      <c r="P9" s="10" t="s">
        <v>40</v>
      </c>
      <c r="Q9" s="10" t="str">
        <f t="shared" si="5"/>
        <v>Urgent</v>
      </c>
    </row>
    <row r="10" spans="1:17" ht="14.25" customHeight="1">
      <c r="A10" s="8">
        <v>45493</v>
      </c>
      <c r="B10" s="9" t="str">
        <f t="shared" si="0"/>
        <v>North</v>
      </c>
      <c r="C10" s="9" t="s">
        <v>12</v>
      </c>
      <c r="D10" s="10" t="s">
        <v>59</v>
      </c>
      <c r="E10" s="10" t="str">
        <f t="shared" si="1"/>
        <v>Charlie</v>
      </c>
      <c r="F10" s="10" t="s">
        <v>14</v>
      </c>
      <c r="G10" s="9" t="s">
        <v>15</v>
      </c>
      <c r="H10" s="10" t="s">
        <v>25</v>
      </c>
      <c r="I10" s="10">
        <v>1</v>
      </c>
      <c r="J10" s="10">
        <v>294.5</v>
      </c>
      <c r="K10" s="10">
        <f t="shared" si="2"/>
        <v>294.5</v>
      </c>
      <c r="L10" s="10" t="s">
        <v>60</v>
      </c>
      <c r="M10" s="10" t="str">
        <f t="shared" si="3"/>
        <v xml:space="preserve">MOBILE MONEY </v>
      </c>
      <c r="N10" s="10" t="s">
        <v>57</v>
      </c>
      <c r="O10" s="10" t="str">
        <f t="shared" si="4"/>
        <v xml:space="preserve">Mobile Money </v>
      </c>
      <c r="P10" s="10" t="s">
        <v>33</v>
      </c>
      <c r="Q10" s="10" t="str">
        <f t="shared" si="5"/>
        <v>Priority</v>
      </c>
    </row>
    <row r="11" spans="1:17" ht="14.25" customHeight="1">
      <c r="A11" s="8">
        <v>45465</v>
      </c>
      <c r="B11" s="10" t="str">
        <f t="shared" si="0"/>
        <v>South</v>
      </c>
      <c r="C11" s="10" t="s">
        <v>21</v>
      </c>
      <c r="D11" s="10" t="s">
        <v>62</v>
      </c>
      <c r="E11" s="10" t="str">
        <f t="shared" si="1"/>
        <v>Hannah</v>
      </c>
      <c r="F11" s="10" t="s">
        <v>29</v>
      </c>
      <c r="G11" s="9" t="s">
        <v>37</v>
      </c>
      <c r="H11" s="10" t="s">
        <v>63</v>
      </c>
      <c r="I11" s="10">
        <v>10</v>
      </c>
      <c r="J11" s="10">
        <v>456.9</v>
      </c>
      <c r="K11" s="10">
        <f t="shared" si="2"/>
        <v>4569</v>
      </c>
      <c r="L11" s="10" t="s">
        <v>64</v>
      </c>
      <c r="M11" s="10" t="str">
        <f t="shared" si="3"/>
        <v>CASH</v>
      </c>
      <c r="N11" s="10" t="s">
        <v>65</v>
      </c>
      <c r="O11" s="10" t="str">
        <f t="shared" si="4"/>
        <v>Cash</v>
      </c>
      <c r="P11" s="10" t="s">
        <v>33</v>
      </c>
      <c r="Q11" s="10" t="str">
        <f t="shared" si="5"/>
        <v>Priority</v>
      </c>
    </row>
    <row r="12" spans="1:17" ht="14.25" customHeight="1">
      <c r="A12" s="8">
        <v>45591</v>
      </c>
      <c r="B12" s="9" t="str">
        <f t="shared" si="0"/>
        <v>Unknow</v>
      </c>
      <c r="C12" s="9" t="s">
        <v>522</v>
      </c>
      <c r="D12" s="10" t="s">
        <v>42</v>
      </c>
      <c r="E12" s="10" t="str">
        <f t="shared" si="1"/>
        <v>Alice</v>
      </c>
      <c r="F12" s="10" t="s">
        <v>36</v>
      </c>
      <c r="G12" s="9" t="s">
        <v>15</v>
      </c>
      <c r="H12" s="10" t="s">
        <v>67</v>
      </c>
      <c r="I12" s="10">
        <v>10</v>
      </c>
      <c r="J12" s="10">
        <v>156.59</v>
      </c>
      <c r="K12" s="10">
        <f t="shared" si="2"/>
        <v>1565.9</v>
      </c>
      <c r="L12" s="10" t="s">
        <v>68</v>
      </c>
      <c r="M12" s="10" t="str">
        <f t="shared" si="3"/>
        <v>MOBILE MONEY</v>
      </c>
      <c r="N12" s="10" t="s">
        <v>32</v>
      </c>
      <c r="O12" s="10" t="str">
        <f t="shared" si="4"/>
        <v>Mobile Money</v>
      </c>
      <c r="P12" s="10" t="s">
        <v>40</v>
      </c>
      <c r="Q12" s="10" t="str">
        <f t="shared" si="5"/>
        <v>Urgent</v>
      </c>
    </row>
    <row r="13" spans="1:17" ht="14.25" customHeight="1">
      <c r="A13" s="8">
        <v>45458</v>
      </c>
      <c r="B13" s="10" t="str">
        <f t="shared" si="0"/>
        <v>West</v>
      </c>
      <c r="C13" s="10" t="s">
        <v>54</v>
      </c>
      <c r="D13" s="10" t="s">
        <v>42</v>
      </c>
      <c r="E13" s="10" t="str">
        <f t="shared" si="1"/>
        <v>Alice</v>
      </c>
      <c r="F13" s="10" t="s">
        <v>23</v>
      </c>
      <c r="G13" s="10" t="s">
        <v>70</v>
      </c>
      <c r="H13" s="10" t="s">
        <v>71</v>
      </c>
      <c r="I13" s="10">
        <v>17</v>
      </c>
      <c r="J13" s="10">
        <v>130.1</v>
      </c>
      <c r="K13" s="10">
        <f t="shared" si="2"/>
        <v>2211.6999999999998</v>
      </c>
      <c r="L13" s="10" t="s">
        <v>72</v>
      </c>
      <c r="M13" s="10" t="str">
        <f t="shared" si="3"/>
        <v>BANK TRANSFER</v>
      </c>
      <c r="N13" s="10" t="s">
        <v>18</v>
      </c>
      <c r="O13" s="10" t="str">
        <f t="shared" si="4"/>
        <v>Bank Transfer</v>
      </c>
      <c r="P13" s="9" t="s">
        <v>523</v>
      </c>
      <c r="Q13" s="9" t="str">
        <f t="shared" si="5"/>
        <v>No Comments</v>
      </c>
    </row>
    <row r="14" spans="1:17" ht="14.25" customHeight="1">
      <c r="A14" s="8">
        <v>45322</v>
      </c>
      <c r="B14" s="10" t="str">
        <f t="shared" si="0"/>
        <v>South</v>
      </c>
      <c r="C14" s="10" t="s">
        <v>21</v>
      </c>
      <c r="D14" s="10" t="s">
        <v>13</v>
      </c>
      <c r="E14" s="10" t="str">
        <f t="shared" si="1"/>
        <v>Faith</v>
      </c>
      <c r="F14" s="10" t="s">
        <v>50</v>
      </c>
      <c r="G14" s="9" t="s">
        <v>521</v>
      </c>
      <c r="H14" s="10" t="s">
        <v>55</v>
      </c>
      <c r="I14" s="10">
        <v>18</v>
      </c>
      <c r="J14" s="10">
        <v>400.77</v>
      </c>
      <c r="K14" s="10">
        <f t="shared" si="2"/>
        <v>7213.86</v>
      </c>
      <c r="L14" s="10" t="s">
        <v>74</v>
      </c>
      <c r="M14" s="10" t="str">
        <f t="shared" si="3"/>
        <v>CREDIT CARD</v>
      </c>
      <c r="N14" s="10" t="s">
        <v>75</v>
      </c>
      <c r="O14" s="10" t="str">
        <f t="shared" si="4"/>
        <v>Credit Card</v>
      </c>
      <c r="P14" s="10" t="s">
        <v>19</v>
      </c>
      <c r="Q14" s="10" t="str">
        <f t="shared" si="5"/>
        <v>Double Entry</v>
      </c>
    </row>
    <row r="15" spans="1:17" ht="14.25" customHeight="1">
      <c r="A15" s="8">
        <v>45479</v>
      </c>
      <c r="B15" s="9" t="str">
        <f t="shared" si="0"/>
        <v>North</v>
      </c>
      <c r="C15" s="9" t="s">
        <v>12</v>
      </c>
      <c r="D15" s="10" t="s">
        <v>77</v>
      </c>
      <c r="E15" s="10" t="str">
        <f t="shared" si="1"/>
        <v>Diana</v>
      </c>
      <c r="F15" s="10" t="s">
        <v>36</v>
      </c>
      <c r="G15" s="9" t="s">
        <v>37</v>
      </c>
      <c r="H15" s="10" t="s">
        <v>78</v>
      </c>
      <c r="I15" s="10">
        <v>12</v>
      </c>
      <c r="J15" s="10">
        <v>188.26</v>
      </c>
      <c r="K15" s="10">
        <f t="shared" si="2"/>
        <v>2259.12</v>
      </c>
      <c r="L15" s="10" t="s">
        <v>79</v>
      </c>
      <c r="M15" s="10" t="str">
        <f t="shared" si="3"/>
        <v>MOBILE MONEY</v>
      </c>
      <c r="N15" s="10" t="s">
        <v>32</v>
      </c>
      <c r="O15" s="10" t="str">
        <f t="shared" si="4"/>
        <v>Mobile Money</v>
      </c>
      <c r="P15" s="9" t="s">
        <v>523</v>
      </c>
      <c r="Q15" s="9" t="str">
        <f t="shared" si="5"/>
        <v>No Comments</v>
      </c>
    </row>
    <row r="16" spans="1:17" ht="14.25" customHeight="1">
      <c r="A16" s="8">
        <v>45310</v>
      </c>
      <c r="B16" s="9" t="str">
        <f t="shared" si="0"/>
        <v>North</v>
      </c>
      <c r="C16" s="9" t="s">
        <v>12</v>
      </c>
      <c r="D16" s="10" t="s">
        <v>28</v>
      </c>
      <c r="E16" s="10" t="str">
        <f t="shared" si="1"/>
        <v>George</v>
      </c>
      <c r="F16" s="10" t="s">
        <v>14</v>
      </c>
      <c r="G16" s="9" t="s">
        <v>43</v>
      </c>
      <c r="H16" s="10" t="s">
        <v>78</v>
      </c>
      <c r="I16" s="10">
        <v>20</v>
      </c>
      <c r="J16" s="10">
        <v>149.16</v>
      </c>
      <c r="K16" s="10">
        <f t="shared" si="2"/>
        <v>2983.2</v>
      </c>
      <c r="L16" s="10" t="s">
        <v>82</v>
      </c>
      <c r="M16" s="10" t="str">
        <f t="shared" si="3"/>
        <v>MOBILE MONEY</v>
      </c>
      <c r="N16" s="10" t="s">
        <v>32</v>
      </c>
      <c r="O16" s="10" t="str">
        <f t="shared" si="4"/>
        <v>Mobile Money</v>
      </c>
      <c r="P16" s="10" t="s">
        <v>83</v>
      </c>
      <c r="Q16" s="10" t="str">
        <f t="shared" si="5"/>
        <v>Check Stock</v>
      </c>
    </row>
    <row r="17" spans="1:17" ht="14.25" customHeight="1">
      <c r="A17" s="8">
        <v>45450</v>
      </c>
      <c r="B17" s="10" t="str">
        <f t="shared" si="0"/>
        <v>South</v>
      </c>
      <c r="C17" s="10" t="s">
        <v>21</v>
      </c>
      <c r="D17" s="10" t="s">
        <v>13</v>
      </c>
      <c r="E17" s="10" t="str">
        <f t="shared" si="1"/>
        <v>Faith</v>
      </c>
      <c r="F17" s="10" t="s">
        <v>47</v>
      </c>
      <c r="G17" s="9" t="s">
        <v>15</v>
      </c>
      <c r="H17" s="10" t="s">
        <v>63</v>
      </c>
      <c r="I17" s="10">
        <v>1</v>
      </c>
      <c r="J17" s="10">
        <v>68.83</v>
      </c>
      <c r="K17" s="10">
        <f t="shared" si="2"/>
        <v>68.83</v>
      </c>
      <c r="L17" s="10" t="s">
        <v>85</v>
      </c>
      <c r="M17" s="10" t="str">
        <f t="shared" si="3"/>
        <v>CASH</v>
      </c>
      <c r="N17" s="10" t="s">
        <v>65</v>
      </c>
      <c r="O17" s="10" t="str">
        <f t="shared" si="4"/>
        <v>Cash</v>
      </c>
      <c r="P17" s="9" t="s">
        <v>523</v>
      </c>
      <c r="Q17" s="9" t="str">
        <f t="shared" si="5"/>
        <v>No Comments</v>
      </c>
    </row>
    <row r="18" spans="1:17" ht="14.25" customHeight="1">
      <c r="A18" s="8">
        <v>45455</v>
      </c>
      <c r="B18" s="10" t="str">
        <f t="shared" si="0"/>
        <v>SOUTH</v>
      </c>
      <c r="C18" s="10" t="s">
        <v>46</v>
      </c>
      <c r="D18" s="10" t="s">
        <v>87</v>
      </c>
      <c r="E18" s="10" t="str">
        <f t="shared" si="1"/>
        <v>Ethan</v>
      </c>
      <c r="F18" s="10" t="s">
        <v>14</v>
      </c>
      <c r="G18" s="9" t="s">
        <v>43</v>
      </c>
      <c r="H18" s="10" t="s">
        <v>88</v>
      </c>
      <c r="I18" s="10">
        <v>20</v>
      </c>
      <c r="J18" s="10">
        <v>468.1</v>
      </c>
      <c r="K18" s="10">
        <f t="shared" si="2"/>
        <v>9362</v>
      </c>
      <c r="L18" s="10" t="s">
        <v>89</v>
      </c>
      <c r="M18" s="10" t="str">
        <f t="shared" si="3"/>
        <v>MOBILE MONEY</v>
      </c>
      <c r="N18" s="10" t="s">
        <v>32</v>
      </c>
      <c r="O18" s="10" t="str">
        <f t="shared" si="4"/>
        <v>Mobile Money</v>
      </c>
      <c r="P18" s="10" t="s">
        <v>52</v>
      </c>
      <c r="Q18" s="10" t="str">
        <f t="shared" si="5"/>
        <v>Follow Up</v>
      </c>
    </row>
    <row r="19" spans="1:17" ht="14.25" customHeight="1">
      <c r="A19" s="8">
        <v>45566</v>
      </c>
      <c r="B19" s="9" t="str">
        <f t="shared" si="0"/>
        <v>North</v>
      </c>
      <c r="C19" s="9" t="s">
        <v>12</v>
      </c>
      <c r="D19" s="10" t="s">
        <v>62</v>
      </c>
      <c r="E19" s="10" t="str">
        <f t="shared" si="1"/>
        <v>Hannah</v>
      </c>
      <c r="F19" s="10" t="s">
        <v>36</v>
      </c>
      <c r="G19" s="10" t="s">
        <v>24</v>
      </c>
      <c r="H19" s="9" t="s">
        <v>91</v>
      </c>
      <c r="I19" s="10">
        <v>12</v>
      </c>
      <c r="J19" s="10">
        <v>5.86</v>
      </c>
      <c r="K19" s="10">
        <f t="shared" si="2"/>
        <v>70.320000000000007</v>
      </c>
      <c r="L19" s="10" t="s">
        <v>92</v>
      </c>
      <c r="M19" s="10" t="str">
        <f t="shared" si="3"/>
        <v>CASH</v>
      </c>
      <c r="N19" s="10" t="s">
        <v>93</v>
      </c>
      <c r="O19" s="10" t="str">
        <f t="shared" si="4"/>
        <v>Cash</v>
      </c>
      <c r="P19" s="10" t="s">
        <v>83</v>
      </c>
      <c r="Q19" s="10" t="str">
        <f t="shared" si="5"/>
        <v>Check Stock</v>
      </c>
    </row>
    <row r="20" spans="1:17" ht="14.25" customHeight="1">
      <c r="A20" s="8">
        <v>45340</v>
      </c>
      <c r="B20" s="10" t="str">
        <f t="shared" si="0"/>
        <v>East</v>
      </c>
      <c r="C20" s="10" t="s">
        <v>35</v>
      </c>
      <c r="D20" s="10" t="s">
        <v>62</v>
      </c>
      <c r="E20" s="10" t="str">
        <f t="shared" si="1"/>
        <v>Hannah</v>
      </c>
      <c r="F20" s="10" t="s">
        <v>47</v>
      </c>
      <c r="G20" s="10" t="s">
        <v>24</v>
      </c>
      <c r="H20" s="9" t="s">
        <v>91</v>
      </c>
      <c r="I20" s="10">
        <v>6</v>
      </c>
      <c r="J20" s="10">
        <v>423.28</v>
      </c>
      <c r="K20" s="10">
        <f t="shared" si="2"/>
        <v>2539.6799999999998</v>
      </c>
      <c r="L20" s="10" t="s">
        <v>95</v>
      </c>
      <c r="M20" s="10" t="str">
        <f t="shared" si="3"/>
        <v>BANK TRANSFER</v>
      </c>
      <c r="N20" s="10" t="s">
        <v>18</v>
      </c>
      <c r="O20" s="10" t="str">
        <f t="shared" si="4"/>
        <v>Bank Transfer</v>
      </c>
      <c r="P20" s="9" t="s">
        <v>523</v>
      </c>
      <c r="Q20" s="9" t="str">
        <f t="shared" si="5"/>
        <v>No Comments</v>
      </c>
    </row>
    <row r="21" spans="1:17" ht="14.25" customHeight="1">
      <c r="A21" s="8">
        <v>45444</v>
      </c>
      <c r="B21" s="10" t="str">
        <f t="shared" si="0"/>
        <v>West</v>
      </c>
      <c r="C21" s="10" t="s">
        <v>54</v>
      </c>
      <c r="D21" s="10" t="s">
        <v>42</v>
      </c>
      <c r="E21" s="10" t="str">
        <f t="shared" si="1"/>
        <v>Alice</v>
      </c>
      <c r="F21" s="10" t="s">
        <v>36</v>
      </c>
      <c r="G21" s="9" t="s">
        <v>37</v>
      </c>
      <c r="H21" s="10" t="s">
        <v>78</v>
      </c>
      <c r="I21" s="10">
        <v>11</v>
      </c>
      <c r="J21" s="10">
        <v>472.34</v>
      </c>
      <c r="K21" s="10">
        <f t="shared" si="2"/>
        <v>5195.74</v>
      </c>
      <c r="L21" s="10" t="s">
        <v>97</v>
      </c>
      <c r="M21" s="10" t="str">
        <f t="shared" si="3"/>
        <v xml:space="preserve">MOBILE MONEY </v>
      </c>
      <c r="N21" s="10" t="s">
        <v>57</v>
      </c>
      <c r="O21" s="10" t="str">
        <f t="shared" si="4"/>
        <v xml:space="preserve">Mobile Money </v>
      </c>
      <c r="P21" s="9" t="s">
        <v>523</v>
      </c>
      <c r="Q21" s="9" t="str">
        <f t="shared" si="5"/>
        <v>No Comments</v>
      </c>
    </row>
    <row r="22" spans="1:17" ht="14.25" customHeight="1">
      <c r="A22" s="8">
        <v>45499</v>
      </c>
      <c r="B22" s="10" t="str">
        <f t="shared" si="0"/>
        <v>East</v>
      </c>
      <c r="C22" s="10" t="s">
        <v>35</v>
      </c>
      <c r="D22" s="10" t="s">
        <v>22</v>
      </c>
      <c r="E22" s="10" t="str">
        <f t="shared" si="1"/>
        <v>Bob</v>
      </c>
      <c r="F22" s="10" t="s">
        <v>23</v>
      </c>
      <c r="G22" s="9" t="s">
        <v>15</v>
      </c>
      <c r="H22" s="10" t="s">
        <v>16</v>
      </c>
      <c r="I22" s="10">
        <v>7</v>
      </c>
      <c r="J22" s="10">
        <v>206.29</v>
      </c>
      <c r="K22" s="10">
        <f t="shared" si="2"/>
        <v>1444.03</v>
      </c>
      <c r="L22" s="10" t="s">
        <v>99</v>
      </c>
      <c r="M22" s="10" t="str">
        <f t="shared" si="3"/>
        <v>BANK TRANSFER</v>
      </c>
      <c r="N22" s="10" t="s">
        <v>18</v>
      </c>
      <c r="O22" s="10" t="str">
        <f t="shared" si="4"/>
        <v>Bank Transfer</v>
      </c>
      <c r="P22" s="10" t="s">
        <v>19</v>
      </c>
      <c r="Q22" s="10" t="str">
        <f t="shared" si="5"/>
        <v>Double Entry</v>
      </c>
    </row>
    <row r="23" spans="1:17" ht="14.25" customHeight="1">
      <c r="A23" s="8">
        <v>45478</v>
      </c>
      <c r="B23" s="10" t="str">
        <f t="shared" si="0"/>
        <v>South</v>
      </c>
      <c r="C23" s="10" t="s">
        <v>21</v>
      </c>
      <c r="D23" s="10" t="s">
        <v>28</v>
      </c>
      <c r="E23" s="10" t="str">
        <f t="shared" si="1"/>
        <v>George</v>
      </c>
      <c r="F23" s="10" t="s">
        <v>29</v>
      </c>
      <c r="G23" s="9" t="s">
        <v>37</v>
      </c>
      <c r="H23" s="10" t="s">
        <v>101</v>
      </c>
      <c r="I23" s="10">
        <v>14</v>
      </c>
      <c r="J23" s="10">
        <v>388.51</v>
      </c>
      <c r="K23" s="10">
        <f t="shared" si="2"/>
        <v>5439.1399999999994</v>
      </c>
      <c r="L23" s="10" t="s">
        <v>102</v>
      </c>
      <c r="M23" s="10" t="str">
        <f t="shared" si="3"/>
        <v>CREDIT CARD</v>
      </c>
      <c r="N23" s="10" t="s">
        <v>75</v>
      </c>
      <c r="O23" s="10" t="str">
        <f t="shared" si="4"/>
        <v>Credit Card</v>
      </c>
      <c r="P23" s="10" t="s">
        <v>40</v>
      </c>
      <c r="Q23" s="10" t="str">
        <f t="shared" si="5"/>
        <v>Urgent</v>
      </c>
    </row>
    <row r="24" spans="1:17" ht="14.25" customHeight="1">
      <c r="A24" s="8">
        <v>45347</v>
      </c>
      <c r="B24" s="9" t="str">
        <f t="shared" si="0"/>
        <v>North</v>
      </c>
      <c r="C24" s="9" t="s">
        <v>12</v>
      </c>
      <c r="D24" s="10" t="s">
        <v>87</v>
      </c>
      <c r="E24" s="10" t="str">
        <f t="shared" si="1"/>
        <v>Ethan</v>
      </c>
      <c r="F24" s="10" t="s">
        <v>23</v>
      </c>
      <c r="G24" s="9" t="s">
        <v>521</v>
      </c>
      <c r="H24" s="10" t="s">
        <v>16</v>
      </c>
      <c r="I24" s="10">
        <v>16</v>
      </c>
      <c r="J24" s="10">
        <v>334.77</v>
      </c>
      <c r="K24" s="10">
        <f t="shared" si="2"/>
        <v>5356.32</v>
      </c>
      <c r="L24" s="10" t="s">
        <v>104</v>
      </c>
      <c r="M24" s="9" t="str">
        <f t="shared" si="3"/>
        <v>UNKONWN</v>
      </c>
      <c r="N24" s="9" t="s">
        <v>521</v>
      </c>
      <c r="O24" s="9" t="str">
        <f t="shared" si="4"/>
        <v>Unkonwn</v>
      </c>
      <c r="P24" s="9" t="s">
        <v>523</v>
      </c>
      <c r="Q24" s="9" t="str">
        <f t="shared" si="5"/>
        <v>No Comments</v>
      </c>
    </row>
    <row r="25" spans="1:17" ht="14.25" customHeight="1">
      <c r="A25" s="8">
        <v>45542</v>
      </c>
      <c r="B25" s="10" t="str">
        <f t="shared" si="0"/>
        <v>East</v>
      </c>
      <c r="C25" s="10" t="s">
        <v>35</v>
      </c>
      <c r="D25" s="10" t="s">
        <v>22</v>
      </c>
      <c r="E25" s="10" t="str">
        <f t="shared" si="1"/>
        <v>Bob</v>
      </c>
      <c r="F25" s="10" t="s">
        <v>36</v>
      </c>
      <c r="G25" s="10" t="s">
        <v>70</v>
      </c>
      <c r="H25" s="10" t="s">
        <v>106</v>
      </c>
      <c r="I25" s="10">
        <v>5</v>
      </c>
      <c r="J25" s="10">
        <v>176.62</v>
      </c>
      <c r="K25" s="10">
        <f t="shared" si="2"/>
        <v>883.1</v>
      </c>
      <c r="L25" s="10" t="s">
        <v>107</v>
      </c>
      <c r="M25" s="10" t="str">
        <f t="shared" si="3"/>
        <v xml:space="preserve">MOBILE MONEY </v>
      </c>
      <c r="N25" s="10" t="s">
        <v>57</v>
      </c>
      <c r="O25" s="10" t="str">
        <f t="shared" si="4"/>
        <v xml:space="preserve">Mobile Money </v>
      </c>
      <c r="P25" s="10" t="s">
        <v>83</v>
      </c>
      <c r="Q25" s="10" t="str">
        <f t="shared" si="5"/>
        <v>Check Stock</v>
      </c>
    </row>
    <row r="26" spans="1:17" ht="14.25" customHeight="1">
      <c r="A26" s="8">
        <v>45450</v>
      </c>
      <c r="B26" s="9" t="str">
        <f t="shared" si="0"/>
        <v>Unknow</v>
      </c>
      <c r="C26" s="9" t="s">
        <v>522</v>
      </c>
      <c r="D26" s="10" t="s">
        <v>42</v>
      </c>
      <c r="E26" s="10" t="str">
        <f t="shared" si="1"/>
        <v>Alice</v>
      </c>
      <c r="F26" s="10" t="s">
        <v>29</v>
      </c>
      <c r="G26" s="9" t="s">
        <v>521</v>
      </c>
      <c r="H26" s="10" t="s">
        <v>101</v>
      </c>
      <c r="I26" s="10">
        <v>3</v>
      </c>
      <c r="J26" s="10">
        <v>433.96</v>
      </c>
      <c r="K26" s="10">
        <f t="shared" si="2"/>
        <v>1301.8799999999999</v>
      </c>
      <c r="L26" s="10" t="s">
        <v>26</v>
      </c>
      <c r="M26" s="10" t="str">
        <f t="shared" si="3"/>
        <v>CASH</v>
      </c>
      <c r="N26" s="10" t="s">
        <v>93</v>
      </c>
      <c r="O26" s="10" t="str">
        <f t="shared" si="4"/>
        <v>Cash</v>
      </c>
      <c r="P26" s="10" t="s">
        <v>83</v>
      </c>
      <c r="Q26" s="10" t="str">
        <f t="shared" si="5"/>
        <v>Check Stock</v>
      </c>
    </row>
    <row r="27" spans="1:17" ht="14.25" customHeight="1">
      <c r="A27" s="8">
        <v>45514</v>
      </c>
      <c r="B27" s="10" t="str">
        <f t="shared" si="0"/>
        <v>West</v>
      </c>
      <c r="C27" s="10" t="s">
        <v>54</v>
      </c>
      <c r="D27" s="10" t="s">
        <v>28</v>
      </c>
      <c r="E27" s="10" t="str">
        <f t="shared" si="1"/>
        <v>George</v>
      </c>
      <c r="F27" s="10" t="s">
        <v>36</v>
      </c>
      <c r="G27" s="9" t="s">
        <v>43</v>
      </c>
      <c r="H27" s="10" t="s">
        <v>38</v>
      </c>
      <c r="I27" s="10">
        <v>9</v>
      </c>
      <c r="J27" s="10">
        <v>337.87</v>
      </c>
      <c r="K27" s="10">
        <f t="shared" si="2"/>
        <v>3040.83</v>
      </c>
      <c r="L27" s="10" t="s">
        <v>110</v>
      </c>
      <c r="M27" s="10" t="str">
        <f t="shared" si="3"/>
        <v>CASH</v>
      </c>
      <c r="N27" s="10" t="s">
        <v>93</v>
      </c>
      <c r="O27" s="10" t="str">
        <f t="shared" si="4"/>
        <v>Cash</v>
      </c>
      <c r="P27" s="10" t="s">
        <v>19</v>
      </c>
      <c r="Q27" s="10" t="str">
        <f t="shared" si="5"/>
        <v>Double Entry</v>
      </c>
    </row>
    <row r="28" spans="1:17" ht="14.25" customHeight="1">
      <c r="A28" s="8">
        <v>45577</v>
      </c>
      <c r="B28" s="9" t="str">
        <f t="shared" si="0"/>
        <v>North</v>
      </c>
      <c r="C28" s="9" t="s">
        <v>12</v>
      </c>
      <c r="D28" s="10" t="s">
        <v>59</v>
      </c>
      <c r="E28" s="10" t="str">
        <f t="shared" si="1"/>
        <v>Charlie</v>
      </c>
      <c r="F28" s="10" t="s">
        <v>29</v>
      </c>
      <c r="G28" s="10" t="s">
        <v>70</v>
      </c>
      <c r="H28" s="10" t="s">
        <v>112</v>
      </c>
      <c r="I28" s="10">
        <v>19</v>
      </c>
      <c r="J28" s="10">
        <v>77.05</v>
      </c>
      <c r="K28" s="10">
        <f t="shared" si="2"/>
        <v>1463.95</v>
      </c>
      <c r="L28" s="10" t="s">
        <v>113</v>
      </c>
      <c r="M28" s="10" t="str">
        <f t="shared" si="3"/>
        <v xml:space="preserve">MOBILE MONEY </v>
      </c>
      <c r="N28" s="10" t="s">
        <v>57</v>
      </c>
      <c r="O28" s="10" t="str">
        <f t="shared" si="4"/>
        <v xml:space="preserve">Mobile Money </v>
      </c>
      <c r="P28" s="10" t="s">
        <v>40</v>
      </c>
      <c r="Q28" s="10" t="str">
        <f t="shared" si="5"/>
        <v>Urgent</v>
      </c>
    </row>
    <row r="29" spans="1:17" ht="14.25" customHeight="1">
      <c r="A29" s="8">
        <v>45432</v>
      </c>
      <c r="B29" s="10" t="str">
        <f t="shared" si="0"/>
        <v>West</v>
      </c>
      <c r="C29" s="10" t="s">
        <v>54</v>
      </c>
      <c r="D29" s="10" t="s">
        <v>22</v>
      </c>
      <c r="E29" s="10" t="str">
        <f t="shared" si="1"/>
        <v>Bob</v>
      </c>
      <c r="F29" s="10" t="s">
        <v>14</v>
      </c>
      <c r="G29" s="10" t="s">
        <v>24</v>
      </c>
      <c r="H29" s="10" t="s">
        <v>71</v>
      </c>
      <c r="I29" s="10">
        <v>8</v>
      </c>
      <c r="J29" s="10">
        <v>442.59</v>
      </c>
      <c r="K29" s="10">
        <f t="shared" si="2"/>
        <v>3540.72</v>
      </c>
      <c r="L29" s="10" t="s">
        <v>115</v>
      </c>
      <c r="M29" s="10" t="str">
        <f t="shared" si="3"/>
        <v xml:space="preserve">MOBILE MONEY </v>
      </c>
      <c r="N29" s="10" t="s">
        <v>57</v>
      </c>
      <c r="O29" s="10" t="str">
        <f t="shared" si="4"/>
        <v xml:space="preserve">Mobile Money </v>
      </c>
      <c r="P29" s="9" t="s">
        <v>523</v>
      </c>
      <c r="Q29" s="9" t="str">
        <f t="shared" si="5"/>
        <v>No Comments</v>
      </c>
    </row>
    <row r="30" spans="1:17" ht="14.25" customHeight="1">
      <c r="A30" s="8">
        <v>45467</v>
      </c>
      <c r="B30" s="9" t="str">
        <f t="shared" si="0"/>
        <v>North</v>
      </c>
      <c r="C30" s="9" t="s">
        <v>12</v>
      </c>
      <c r="D30" s="10" t="s">
        <v>62</v>
      </c>
      <c r="E30" s="10" t="str">
        <f t="shared" si="1"/>
        <v>Hannah</v>
      </c>
      <c r="F30" s="10" t="s">
        <v>14</v>
      </c>
      <c r="G30" s="9" t="s">
        <v>37</v>
      </c>
      <c r="H30" s="10" t="s">
        <v>117</v>
      </c>
      <c r="I30" s="10">
        <v>18</v>
      </c>
      <c r="J30" s="10">
        <v>207.03</v>
      </c>
      <c r="K30" s="10">
        <f t="shared" si="2"/>
        <v>3726.54</v>
      </c>
      <c r="L30" s="10" t="s">
        <v>60</v>
      </c>
      <c r="M30" s="10" t="str">
        <f t="shared" si="3"/>
        <v>CASH</v>
      </c>
      <c r="N30" s="10" t="s">
        <v>93</v>
      </c>
      <c r="O30" s="10" t="str">
        <f t="shared" si="4"/>
        <v>Cash</v>
      </c>
      <c r="P30" s="10" t="s">
        <v>19</v>
      </c>
      <c r="Q30" s="10" t="str">
        <f t="shared" si="5"/>
        <v>Double Entry</v>
      </c>
    </row>
    <row r="31" spans="1:17" ht="14.25" customHeight="1">
      <c r="A31" s="8">
        <v>45464</v>
      </c>
      <c r="B31" s="9" t="str">
        <f t="shared" si="0"/>
        <v>Unknow</v>
      </c>
      <c r="C31" s="9" t="s">
        <v>522</v>
      </c>
      <c r="D31" s="10" t="s">
        <v>87</v>
      </c>
      <c r="E31" s="10" t="str">
        <f t="shared" si="1"/>
        <v>Ethan</v>
      </c>
      <c r="F31" s="10" t="s">
        <v>29</v>
      </c>
      <c r="G31" s="9" t="s">
        <v>43</v>
      </c>
      <c r="H31" s="10" t="s">
        <v>106</v>
      </c>
      <c r="I31" s="10">
        <v>8</v>
      </c>
      <c r="J31" s="10">
        <v>287.8</v>
      </c>
      <c r="K31" s="10">
        <f t="shared" si="2"/>
        <v>2302.4</v>
      </c>
      <c r="L31" s="10" t="s">
        <v>119</v>
      </c>
      <c r="M31" s="9" t="str">
        <f t="shared" si="3"/>
        <v>UNKONWN</v>
      </c>
      <c r="N31" s="9" t="s">
        <v>521</v>
      </c>
      <c r="O31" s="9" t="str">
        <f t="shared" si="4"/>
        <v>Unkonwn</v>
      </c>
      <c r="P31" s="10" t="s">
        <v>52</v>
      </c>
      <c r="Q31" s="10" t="str">
        <f t="shared" si="5"/>
        <v>Follow Up</v>
      </c>
    </row>
    <row r="32" spans="1:17" ht="14.25" customHeight="1">
      <c r="A32" s="8">
        <v>45552</v>
      </c>
      <c r="B32" s="10" t="str">
        <f t="shared" si="0"/>
        <v>South</v>
      </c>
      <c r="C32" s="10" t="s">
        <v>21</v>
      </c>
      <c r="D32" s="10" t="s">
        <v>59</v>
      </c>
      <c r="E32" s="10" t="str">
        <f t="shared" si="1"/>
        <v>Charlie</v>
      </c>
      <c r="F32" s="10" t="s">
        <v>23</v>
      </c>
      <c r="G32" s="9" t="s">
        <v>15</v>
      </c>
      <c r="H32" s="10" t="s">
        <v>88</v>
      </c>
      <c r="I32" s="10">
        <v>17</v>
      </c>
      <c r="J32" s="10">
        <v>221.48</v>
      </c>
      <c r="K32" s="10">
        <f t="shared" si="2"/>
        <v>3765.16</v>
      </c>
      <c r="L32" s="10" t="s">
        <v>121</v>
      </c>
      <c r="M32" s="9" t="str">
        <f t="shared" si="3"/>
        <v>UNKONWN</v>
      </c>
      <c r="N32" s="9" t="s">
        <v>521</v>
      </c>
      <c r="O32" s="9" t="str">
        <f t="shared" si="4"/>
        <v>Unkonwn</v>
      </c>
      <c r="P32" s="10" t="s">
        <v>33</v>
      </c>
      <c r="Q32" s="10" t="str">
        <f t="shared" si="5"/>
        <v>Priority</v>
      </c>
    </row>
    <row r="33" spans="1:17" ht="14.25" customHeight="1">
      <c r="A33" s="8">
        <v>45302</v>
      </c>
      <c r="B33" s="9" t="str">
        <f t="shared" si="0"/>
        <v>North</v>
      </c>
      <c r="C33" s="9" t="s">
        <v>12</v>
      </c>
      <c r="D33" s="10" t="s">
        <v>22</v>
      </c>
      <c r="E33" s="10" t="str">
        <f t="shared" si="1"/>
        <v>Bob</v>
      </c>
      <c r="F33" s="10" t="s">
        <v>50</v>
      </c>
      <c r="G33" s="9" t="s">
        <v>43</v>
      </c>
      <c r="H33" s="10" t="s">
        <v>67</v>
      </c>
      <c r="I33" s="10">
        <v>12</v>
      </c>
      <c r="J33" s="10">
        <v>48.72</v>
      </c>
      <c r="K33" s="10">
        <f t="shared" si="2"/>
        <v>584.64</v>
      </c>
      <c r="L33" s="10" t="s">
        <v>123</v>
      </c>
      <c r="M33" s="10" t="str">
        <f t="shared" si="3"/>
        <v>CASH</v>
      </c>
      <c r="N33" s="10" t="s">
        <v>93</v>
      </c>
      <c r="O33" s="10" t="str">
        <f t="shared" si="4"/>
        <v>Cash</v>
      </c>
      <c r="P33" s="9" t="s">
        <v>523</v>
      </c>
      <c r="Q33" s="9" t="str">
        <f t="shared" si="5"/>
        <v>No Comments</v>
      </c>
    </row>
    <row r="34" spans="1:17" ht="14.25" customHeight="1">
      <c r="A34" s="8">
        <v>45549</v>
      </c>
      <c r="B34" s="9" t="str">
        <f t="shared" si="0"/>
        <v>North</v>
      </c>
      <c r="C34" s="9" t="s">
        <v>12</v>
      </c>
      <c r="D34" s="10" t="s">
        <v>13</v>
      </c>
      <c r="E34" s="10" t="str">
        <f t="shared" si="1"/>
        <v>Faith</v>
      </c>
      <c r="F34" s="10" t="s">
        <v>47</v>
      </c>
      <c r="G34" s="9" t="s">
        <v>43</v>
      </c>
      <c r="H34" s="10" t="s">
        <v>112</v>
      </c>
      <c r="I34" s="10">
        <v>8</v>
      </c>
      <c r="J34" s="10">
        <v>467.19</v>
      </c>
      <c r="K34" s="10">
        <f t="shared" si="2"/>
        <v>3737.52</v>
      </c>
      <c r="L34" s="10" t="s">
        <v>125</v>
      </c>
      <c r="M34" s="10" t="str">
        <f t="shared" si="3"/>
        <v>CASH</v>
      </c>
      <c r="N34" s="10" t="s">
        <v>65</v>
      </c>
      <c r="O34" s="10" t="str">
        <f t="shared" si="4"/>
        <v>Cash</v>
      </c>
      <c r="P34" s="10" t="s">
        <v>52</v>
      </c>
      <c r="Q34" s="10" t="str">
        <f t="shared" si="5"/>
        <v>Follow Up</v>
      </c>
    </row>
    <row r="35" spans="1:17" ht="14.25" customHeight="1">
      <c r="A35" s="8">
        <v>45469</v>
      </c>
      <c r="B35" s="9" t="str">
        <f t="shared" si="0"/>
        <v>Unknow</v>
      </c>
      <c r="C35" s="9" t="s">
        <v>522</v>
      </c>
      <c r="D35" s="10" t="s">
        <v>59</v>
      </c>
      <c r="E35" s="10" t="str">
        <f t="shared" si="1"/>
        <v>Charlie</v>
      </c>
      <c r="F35" s="10" t="s">
        <v>14</v>
      </c>
      <c r="G35" s="9" t="s">
        <v>521</v>
      </c>
      <c r="H35" s="10" t="s">
        <v>127</v>
      </c>
      <c r="I35" s="10">
        <v>18</v>
      </c>
      <c r="J35" s="10">
        <v>69.06</v>
      </c>
      <c r="K35" s="10">
        <f t="shared" si="2"/>
        <v>1243.08</v>
      </c>
      <c r="L35" s="10" t="s">
        <v>128</v>
      </c>
      <c r="M35" s="9" t="str">
        <f t="shared" si="3"/>
        <v>UNKONWN</v>
      </c>
      <c r="N35" s="9" t="s">
        <v>521</v>
      </c>
      <c r="O35" s="9" t="str">
        <f t="shared" si="4"/>
        <v>Unkonwn</v>
      </c>
      <c r="P35" s="10" t="s">
        <v>33</v>
      </c>
      <c r="Q35" s="10" t="str">
        <f t="shared" si="5"/>
        <v>Priority</v>
      </c>
    </row>
    <row r="36" spans="1:17" ht="14.25" customHeight="1">
      <c r="A36" s="8">
        <v>45508</v>
      </c>
      <c r="B36" s="9" t="str">
        <f t="shared" si="0"/>
        <v>Unknow</v>
      </c>
      <c r="C36" s="9" t="s">
        <v>522</v>
      </c>
      <c r="D36" s="10" t="s">
        <v>22</v>
      </c>
      <c r="E36" s="10" t="str">
        <f t="shared" si="1"/>
        <v>Bob</v>
      </c>
      <c r="F36" s="10" t="s">
        <v>29</v>
      </c>
      <c r="G36" s="9" t="s">
        <v>521</v>
      </c>
      <c r="H36" s="10" t="s">
        <v>101</v>
      </c>
      <c r="I36" s="10">
        <v>12</v>
      </c>
      <c r="J36" s="10">
        <v>442.79</v>
      </c>
      <c r="K36" s="10">
        <f t="shared" si="2"/>
        <v>5313.4800000000005</v>
      </c>
      <c r="L36" s="10" t="s">
        <v>130</v>
      </c>
      <c r="M36" s="10" t="str">
        <f t="shared" si="3"/>
        <v>MOBILE MONEY</v>
      </c>
      <c r="N36" s="10" t="s">
        <v>32</v>
      </c>
      <c r="O36" s="10" t="str">
        <f t="shared" si="4"/>
        <v>Mobile Money</v>
      </c>
      <c r="P36" s="10" t="s">
        <v>83</v>
      </c>
      <c r="Q36" s="10" t="str">
        <f t="shared" si="5"/>
        <v>Check Stock</v>
      </c>
    </row>
    <row r="37" spans="1:17" ht="14.25" customHeight="1">
      <c r="A37" s="8">
        <v>45552</v>
      </c>
      <c r="B37" s="9" t="str">
        <f t="shared" si="0"/>
        <v>North</v>
      </c>
      <c r="C37" s="9" t="s">
        <v>12</v>
      </c>
      <c r="D37" s="10" t="s">
        <v>59</v>
      </c>
      <c r="E37" s="10" t="str">
        <f t="shared" si="1"/>
        <v>Charlie</v>
      </c>
      <c r="F37" s="10" t="s">
        <v>47</v>
      </c>
      <c r="G37" s="10" t="s">
        <v>24</v>
      </c>
      <c r="H37" s="10" t="s">
        <v>88</v>
      </c>
      <c r="I37" s="10">
        <v>17</v>
      </c>
      <c r="J37" s="10">
        <v>414.19</v>
      </c>
      <c r="K37" s="10">
        <f t="shared" si="2"/>
        <v>7041.23</v>
      </c>
      <c r="L37" s="10" t="s">
        <v>132</v>
      </c>
      <c r="M37" s="10" t="str">
        <f t="shared" si="3"/>
        <v>CREDIT CARD</v>
      </c>
      <c r="N37" s="10" t="s">
        <v>75</v>
      </c>
      <c r="O37" s="10" t="str">
        <f t="shared" si="4"/>
        <v>Credit Card</v>
      </c>
      <c r="P37" s="10" t="s">
        <v>40</v>
      </c>
      <c r="Q37" s="10" t="str">
        <f t="shared" si="5"/>
        <v>Urgent</v>
      </c>
    </row>
    <row r="38" spans="1:17" ht="14.25" customHeight="1">
      <c r="A38" s="8">
        <v>45501</v>
      </c>
      <c r="B38" s="9" t="str">
        <f t="shared" si="0"/>
        <v>North</v>
      </c>
      <c r="C38" s="9" t="s">
        <v>12</v>
      </c>
      <c r="D38" s="10" t="s">
        <v>87</v>
      </c>
      <c r="E38" s="10" t="str">
        <f t="shared" si="1"/>
        <v>Ethan</v>
      </c>
      <c r="F38" s="10" t="s">
        <v>29</v>
      </c>
      <c r="G38" s="9" t="s">
        <v>43</v>
      </c>
      <c r="H38" s="10" t="s">
        <v>25</v>
      </c>
      <c r="I38" s="10">
        <v>7</v>
      </c>
      <c r="J38" s="10">
        <v>316.58</v>
      </c>
      <c r="K38" s="10">
        <f t="shared" si="2"/>
        <v>2216.06</v>
      </c>
      <c r="L38" s="10" t="s">
        <v>134</v>
      </c>
      <c r="M38" s="10" t="str">
        <f t="shared" si="3"/>
        <v>CASH</v>
      </c>
      <c r="N38" s="10" t="s">
        <v>65</v>
      </c>
      <c r="O38" s="10" t="str">
        <f t="shared" si="4"/>
        <v>Cash</v>
      </c>
      <c r="P38" s="10" t="s">
        <v>40</v>
      </c>
      <c r="Q38" s="10" t="str">
        <f t="shared" si="5"/>
        <v>Urgent</v>
      </c>
    </row>
    <row r="39" spans="1:17" ht="14.25" customHeight="1">
      <c r="A39" s="8">
        <v>45400</v>
      </c>
      <c r="B39" s="9" t="str">
        <f t="shared" si="0"/>
        <v>Unknow</v>
      </c>
      <c r="C39" s="9" t="s">
        <v>522</v>
      </c>
      <c r="D39" s="10" t="s">
        <v>28</v>
      </c>
      <c r="E39" s="10" t="str">
        <f t="shared" si="1"/>
        <v>George</v>
      </c>
      <c r="F39" s="10" t="s">
        <v>36</v>
      </c>
      <c r="G39" s="10" t="s">
        <v>70</v>
      </c>
      <c r="H39" s="10" t="s">
        <v>71</v>
      </c>
      <c r="I39" s="10">
        <v>9</v>
      </c>
      <c r="J39" s="10">
        <v>455.07</v>
      </c>
      <c r="K39" s="10">
        <f t="shared" si="2"/>
        <v>4095.63</v>
      </c>
      <c r="L39" s="10" t="s">
        <v>136</v>
      </c>
      <c r="M39" s="10" t="str">
        <f t="shared" si="3"/>
        <v>CASH</v>
      </c>
      <c r="N39" s="10" t="s">
        <v>65</v>
      </c>
      <c r="O39" s="10" t="str">
        <f t="shared" si="4"/>
        <v>Cash</v>
      </c>
      <c r="P39" s="9" t="s">
        <v>523</v>
      </c>
      <c r="Q39" s="9" t="str">
        <f t="shared" si="5"/>
        <v>No Comments</v>
      </c>
    </row>
    <row r="40" spans="1:17" ht="14.25" customHeight="1">
      <c r="A40" s="8">
        <v>45510</v>
      </c>
      <c r="B40" s="9" t="str">
        <f t="shared" si="0"/>
        <v>North</v>
      </c>
      <c r="C40" s="9" t="s">
        <v>12</v>
      </c>
      <c r="D40" s="10" t="s">
        <v>62</v>
      </c>
      <c r="E40" s="10" t="str">
        <f t="shared" si="1"/>
        <v>Hannah</v>
      </c>
      <c r="F40" s="10" t="s">
        <v>36</v>
      </c>
      <c r="G40" s="10" t="s">
        <v>24</v>
      </c>
      <c r="H40" s="10" t="s">
        <v>71</v>
      </c>
      <c r="I40" s="10">
        <v>10</v>
      </c>
      <c r="J40" s="10">
        <v>38.85</v>
      </c>
      <c r="K40" s="10">
        <f t="shared" si="2"/>
        <v>388.5</v>
      </c>
      <c r="L40" s="10" t="s">
        <v>138</v>
      </c>
      <c r="M40" s="10" t="str">
        <f t="shared" si="3"/>
        <v>MOBILE MONEY</v>
      </c>
      <c r="N40" s="10" t="s">
        <v>32</v>
      </c>
      <c r="O40" s="10" t="str">
        <f t="shared" si="4"/>
        <v>Mobile Money</v>
      </c>
      <c r="P40" s="9" t="s">
        <v>523</v>
      </c>
      <c r="Q40" s="9" t="str">
        <f t="shared" si="5"/>
        <v>No Comments</v>
      </c>
    </row>
    <row r="41" spans="1:17" ht="14.25" customHeight="1">
      <c r="A41" s="8">
        <v>45587</v>
      </c>
      <c r="B41" s="9" t="str">
        <f t="shared" si="0"/>
        <v>North</v>
      </c>
      <c r="C41" s="9" t="s">
        <v>12</v>
      </c>
      <c r="D41" s="10" t="s">
        <v>13</v>
      </c>
      <c r="E41" s="10" t="str">
        <f t="shared" si="1"/>
        <v>Faith</v>
      </c>
      <c r="F41" s="10" t="s">
        <v>47</v>
      </c>
      <c r="G41" s="9" t="s">
        <v>43</v>
      </c>
      <c r="H41" s="10" t="s">
        <v>127</v>
      </c>
      <c r="I41" s="10">
        <v>13</v>
      </c>
      <c r="J41" s="10">
        <v>305.74</v>
      </c>
      <c r="K41" s="10">
        <f t="shared" si="2"/>
        <v>3974.62</v>
      </c>
      <c r="L41" s="10" t="s">
        <v>140</v>
      </c>
      <c r="M41" s="10" t="str">
        <f t="shared" si="3"/>
        <v>CREDIT CARD</v>
      </c>
      <c r="N41" s="10" t="s">
        <v>75</v>
      </c>
      <c r="O41" s="10" t="str">
        <f t="shared" si="4"/>
        <v>Credit Card</v>
      </c>
      <c r="P41" s="9" t="s">
        <v>523</v>
      </c>
      <c r="Q41" s="9" t="str">
        <f t="shared" si="5"/>
        <v>No Comments</v>
      </c>
    </row>
    <row r="42" spans="1:17" ht="14.25" customHeight="1">
      <c r="A42" s="8">
        <v>45340</v>
      </c>
      <c r="B42" s="9" t="str">
        <f t="shared" si="0"/>
        <v>North</v>
      </c>
      <c r="C42" s="9" t="s">
        <v>12</v>
      </c>
      <c r="D42" s="10" t="s">
        <v>87</v>
      </c>
      <c r="E42" s="10" t="str">
        <f t="shared" si="1"/>
        <v>Ethan</v>
      </c>
      <c r="F42" s="10" t="s">
        <v>14</v>
      </c>
      <c r="G42" s="9" t="s">
        <v>37</v>
      </c>
      <c r="H42" s="10" t="s">
        <v>63</v>
      </c>
      <c r="I42" s="10">
        <v>8</v>
      </c>
      <c r="J42" s="10">
        <v>277.63</v>
      </c>
      <c r="K42" s="10">
        <f t="shared" si="2"/>
        <v>2221.04</v>
      </c>
      <c r="L42" s="10" t="s">
        <v>141</v>
      </c>
      <c r="M42" s="9" t="str">
        <f t="shared" si="3"/>
        <v>UNKONWN</v>
      </c>
      <c r="N42" s="9" t="s">
        <v>521</v>
      </c>
      <c r="O42" s="9" t="str">
        <f t="shared" si="4"/>
        <v>Unkonwn</v>
      </c>
      <c r="P42" s="10" t="s">
        <v>19</v>
      </c>
      <c r="Q42" s="10" t="str">
        <f t="shared" si="5"/>
        <v>Double Entry</v>
      </c>
    </row>
    <row r="43" spans="1:17" ht="14.25" customHeight="1">
      <c r="A43" s="8">
        <v>45304</v>
      </c>
      <c r="B43" s="9" t="str">
        <f t="shared" si="0"/>
        <v>North</v>
      </c>
      <c r="C43" s="9" t="s">
        <v>12</v>
      </c>
      <c r="D43" s="10" t="s">
        <v>42</v>
      </c>
      <c r="E43" s="10" t="str">
        <f t="shared" si="1"/>
        <v>Alice</v>
      </c>
      <c r="F43" s="10" t="s">
        <v>36</v>
      </c>
      <c r="G43" s="9" t="s">
        <v>43</v>
      </c>
      <c r="H43" s="10" t="s">
        <v>71</v>
      </c>
      <c r="I43" s="10">
        <v>7</v>
      </c>
      <c r="J43" s="10">
        <v>258.89</v>
      </c>
      <c r="K43" s="10">
        <f t="shared" si="2"/>
        <v>1812.23</v>
      </c>
      <c r="L43" s="10" t="s">
        <v>143</v>
      </c>
      <c r="M43" s="9" t="str">
        <f t="shared" si="3"/>
        <v>UNKONWN</v>
      </c>
      <c r="N43" s="9" t="s">
        <v>521</v>
      </c>
      <c r="O43" s="9" t="str">
        <f t="shared" si="4"/>
        <v>Unkonwn</v>
      </c>
      <c r="P43" s="10" t="s">
        <v>40</v>
      </c>
      <c r="Q43" s="10" t="str">
        <f t="shared" si="5"/>
        <v>Urgent</v>
      </c>
    </row>
    <row r="44" spans="1:17" ht="14.25" customHeight="1">
      <c r="A44" s="8">
        <v>45366</v>
      </c>
      <c r="B44" s="10" t="str">
        <f t="shared" si="0"/>
        <v>South</v>
      </c>
      <c r="C44" s="10" t="s">
        <v>21</v>
      </c>
      <c r="D44" s="10" t="s">
        <v>22</v>
      </c>
      <c r="E44" s="10" t="str">
        <f t="shared" si="1"/>
        <v>Bob</v>
      </c>
      <c r="F44" s="10" t="s">
        <v>47</v>
      </c>
      <c r="G44" s="10" t="s">
        <v>70</v>
      </c>
      <c r="H44" s="10" t="s">
        <v>106</v>
      </c>
      <c r="I44" s="10">
        <v>12</v>
      </c>
      <c r="J44" s="10">
        <v>462.99</v>
      </c>
      <c r="K44" s="10">
        <f t="shared" si="2"/>
        <v>5555.88</v>
      </c>
      <c r="L44" s="10" t="s">
        <v>145</v>
      </c>
      <c r="M44" s="9" t="str">
        <f t="shared" si="3"/>
        <v>UNKONWN</v>
      </c>
      <c r="N44" s="9" t="s">
        <v>521</v>
      </c>
      <c r="O44" s="9" t="str">
        <f t="shared" si="4"/>
        <v>Unkonwn</v>
      </c>
      <c r="P44" s="10" t="s">
        <v>19</v>
      </c>
      <c r="Q44" s="10" t="str">
        <f t="shared" si="5"/>
        <v>Double Entry</v>
      </c>
    </row>
    <row r="45" spans="1:17" ht="14.25" customHeight="1">
      <c r="A45" s="8">
        <v>45478</v>
      </c>
      <c r="B45" s="10" t="str">
        <f t="shared" si="0"/>
        <v>East</v>
      </c>
      <c r="C45" s="10" t="s">
        <v>146</v>
      </c>
      <c r="D45" s="10" t="s">
        <v>77</v>
      </c>
      <c r="E45" s="10" t="str">
        <f t="shared" si="1"/>
        <v>Diana</v>
      </c>
      <c r="F45" s="10" t="s">
        <v>47</v>
      </c>
      <c r="G45" s="9" t="s">
        <v>37</v>
      </c>
      <c r="H45" s="10" t="s">
        <v>117</v>
      </c>
      <c r="I45" s="10">
        <v>5</v>
      </c>
      <c r="J45" s="10">
        <v>77.58</v>
      </c>
      <c r="K45" s="10">
        <f t="shared" si="2"/>
        <v>387.9</v>
      </c>
      <c r="L45" s="10" t="s">
        <v>147</v>
      </c>
      <c r="M45" s="10" t="str">
        <f t="shared" si="3"/>
        <v>CASH</v>
      </c>
      <c r="N45" s="10" t="s">
        <v>65</v>
      </c>
      <c r="O45" s="10" t="str">
        <f t="shared" si="4"/>
        <v>Cash</v>
      </c>
      <c r="P45" s="10" t="s">
        <v>52</v>
      </c>
      <c r="Q45" s="10" t="str">
        <f t="shared" si="5"/>
        <v>Follow Up</v>
      </c>
    </row>
    <row r="46" spans="1:17" ht="14.25" customHeight="1">
      <c r="A46" s="8">
        <v>45373</v>
      </c>
      <c r="B46" s="10" t="str">
        <f t="shared" si="0"/>
        <v>West</v>
      </c>
      <c r="C46" s="10" t="s">
        <v>54</v>
      </c>
      <c r="D46" s="10" t="s">
        <v>59</v>
      </c>
      <c r="E46" s="10" t="str">
        <f t="shared" si="1"/>
        <v>Charlie</v>
      </c>
      <c r="F46" s="10" t="s">
        <v>50</v>
      </c>
      <c r="G46" s="9" t="s">
        <v>37</v>
      </c>
      <c r="H46" s="10" t="s">
        <v>88</v>
      </c>
      <c r="I46" s="10">
        <v>1</v>
      </c>
      <c r="J46" s="10">
        <v>243.17</v>
      </c>
      <c r="K46" s="10">
        <f t="shared" si="2"/>
        <v>243.17</v>
      </c>
      <c r="L46" s="10" t="s">
        <v>149</v>
      </c>
      <c r="M46" s="10" t="str">
        <f t="shared" si="3"/>
        <v xml:space="preserve">MOBILE MONEY </v>
      </c>
      <c r="N46" s="10" t="s">
        <v>57</v>
      </c>
      <c r="O46" s="10" t="str">
        <f t="shared" si="4"/>
        <v xml:space="preserve">Mobile Money </v>
      </c>
      <c r="P46" s="9" t="s">
        <v>523</v>
      </c>
      <c r="Q46" s="9" t="str">
        <f t="shared" si="5"/>
        <v>No Comments</v>
      </c>
    </row>
    <row r="47" spans="1:17" ht="14.25" customHeight="1">
      <c r="A47" s="8">
        <v>45486</v>
      </c>
      <c r="B47" s="9" t="str">
        <f t="shared" si="0"/>
        <v>North</v>
      </c>
      <c r="C47" s="9" t="s">
        <v>12</v>
      </c>
      <c r="D47" s="10" t="s">
        <v>42</v>
      </c>
      <c r="E47" s="10" t="str">
        <f t="shared" si="1"/>
        <v>Alice</v>
      </c>
      <c r="F47" s="10" t="s">
        <v>14</v>
      </c>
      <c r="G47" s="9" t="s">
        <v>43</v>
      </c>
      <c r="H47" s="10" t="s">
        <v>127</v>
      </c>
      <c r="I47" s="10">
        <v>13</v>
      </c>
      <c r="J47" s="10">
        <v>322.23</v>
      </c>
      <c r="K47" s="10">
        <f t="shared" si="2"/>
        <v>4188.99</v>
      </c>
      <c r="L47" s="10" t="s">
        <v>151</v>
      </c>
      <c r="M47" s="10" t="str">
        <f t="shared" si="3"/>
        <v>CREDIT CARD</v>
      </c>
      <c r="N47" s="10" t="s">
        <v>75</v>
      </c>
      <c r="O47" s="10" t="str">
        <f t="shared" si="4"/>
        <v>Credit Card</v>
      </c>
      <c r="P47" s="10" t="s">
        <v>33</v>
      </c>
      <c r="Q47" s="10" t="str">
        <f t="shared" si="5"/>
        <v>Priority</v>
      </c>
    </row>
    <row r="48" spans="1:17" ht="14.25" customHeight="1">
      <c r="A48" s="8">
        <v>45451</v>
      </c>
      <c r="B48" s="9" t="str">
        <f t="shared" si="0"/>
        <v>North</v>
      </c>
      <c r="C48" s="9" t="s">
        <v>12</v>
      </c>
      <c r="D48" s="10" t="s">
        <v>59</v>
      </c>
      <c r="E48" s="10" t="str">
        <f t="shared" si="1"/>
        <v>Charlie</v>
      </c>
      <c r="F48" s="10" t="s">
        <v>29</v>
      </c>
      <c r="G48" s="9" t="s">
        <v>43</v>
      </c>
      <c r="H48" s="10" t="s">
        <v>63</v>
      </c>
      <c r="I48" s="10">
        <v>17</v>
      </c>
      <c r="J48" s="10">
        <v>258.97000000000003</v>
      </c>
      <c r="K48" s="10">
        <f t="shared" si="2"/>
        <v>4402.4900000000007</v>
      </c>
      <c r="L48" s="10" t="s">
        <v>153</v>
      </c>
      <c r="M48" s="10" t="str">
        <f t="shared" si="3"/>
        <v>BANK TRANSFER</v>
      </c>
      <c r="N48" s="10" t="s">
        <v>18</v>
      </c>
      <c r="O48" s="10" t="str">
        <f t="shared" si="4"/>
        <v>Bank Transfer</v>
      </c>
      <c r="P48" s="10" t="s">
        <v>33</v>
      </c>
      <c r="Q48" s="10" t="str">
        <f t="shared" si="5"/>
        <v>Priority</v>
      </c>
    </row>
    <row r="49" spans="1:17" ht="14.25" customHeight="1">
      <c r="A49" s="8">
        <v>45332</v>
      </c>
      <c r="B49" s="10" t="str">
        <f t="shared" si="0"/>
        <v>South</v>
      </c>
      <c r="C49" s="10" t="s">
        <v>21</v>
      </c>
      <c r="D49" s="10" t="s">
        <v>62</v>
      </c>
      <c r="E49" s="10" t="str">
        <f t="shared" si="1"/>
        <v>Hannah</v>
      </c>
      <c r="F49" s="10" t="s">
        <v>36</v>
      </c>
      <c r="G49" s="9" t="s">
        <v>15</v>
      </c>
      <c r="H49" s="10" t="s">
        <v>30</v>
      </c>
      <c r="I49" s="10">
        <v>1</v>
      </c>
      <c r="J49" s="10">
        <v>175.84</v>
      </c>
      <c r="K49" s="10">
        <f t="shared" si="2"/>
        <v>175.84</v>
      </c>
      <c r="L49" s="10" t="s">
        <v>155</v>
      </c>
      <c r="M49" s="10" t="str">
        <f t="shared" si="3"/>
        <v>MOBILE MONEY</v>
      </c>
      <c r="N49" s="10" t="s">
        <v>32</v>
      </c>
      <c r="O49" s="10" t="str">
        <f t="shared" si="4"/>
        <v>Mobile Money</v>
      </c>
      <c r="P49" s="10" t="s">
        <v>19</v>
      </c>
      <c r="Q49" s="10" t="str">
        <f t="shared" si="5"/>
        <v>Double Entry</v>
      </c>
    </row>
    <row r="50" spans="1:17" ht="14.25" customHeight="1">
      <c r="A50" s="8">
        <v>45500</v>
      </c>
      <c r="B50" s="10" t="str">
        <f t="shared" si="0"/>
        <v>SOUTH</v>
      </c>
      <c r="C50" s="10" t="s">
        <v>46</v>
      </c>
      <c r="D50" s="10" t="s">
        <v>22</v>
      </c>
      <c r="E50" s="10" t="str">
        <f t="shared" si="1"/>
        <v>Bob</v>
      </c>
      <c r="F50" s="10" t="s">
        <v>14</v>
      </c>
      <c r="G50" s="9" t="s">
        <v>37</v>
      </c>
      <c r="H50" s="10" t="s">
        <v>16</v>
      </c>
      <c r="I50" s="10">
        <v>4</v>
      </c>
      <c r="J50" s="10">
        <v>205.67</v>
      </c>
      <c r="K50" s="10">
        <f t="shared" si="2"/>
        <v>822.68</v>
      </c>
      <c r="L50" s="10" t="s">
        <v>157</v>
      </c>
      <c r="M50" s="10" t="str">
        <f t="shared" si="3"/>
        <v>MOBILE MONEY</v>
      </c>
      <c r="N50" s="10" t="s">
        <v>32</v>
      </c>
      <c r="O50" s="10" t="str">
        <f t="shared" si="4"/>
        <v>Mobile Money</v>
      </c>
      <c r="P50" s="10" t="s">
        <v>83</v>
      </c>
      <c r="Q50" s="10" t="str">
        <f t="shared" si="5"/>
        <v>Check Stock</v>
      </c>
    </row>
    <row r="51" spans="1:17" ht="14.25" customHeight="1">
      <c r="A51" s="8">
        <v>45322</v>
      </c>
      <c r="B51" s="9" t="str">
        <f t="shared" si="0"/>
        <v>North</v>
      </c>
      <c r="C51" s="9" t="s">
        <v>12</v>
      </c>
      <c r="D51" s="10" t="s">
        <v>13</v>
      </c>
      <c r="E51" s="10" t="str">
        <f t="shared" si="1"/>
        <v>Faith</v>
      </c>
      <c r="F51" s="10" t="s">
        <v>23</v>
      </c>
      <c r="G51" s="9" t="s">
        <v>521</v>
      </c>
      <c r="H51" s="10" t="s">
        <v>127</v>
      </c>
      <c r="I51" s="10">
        <v>8</v>
      </c>
      <c r="J51" s="10">
        <v>292.32</v>
      </c>
      <c r="K51" s="10">
        <f t="shared" si="2"/>
        <v>2338.56</v>
      </c>
      <c r="L51" s="10" t="s">
        <v>158</v>
      </c>
      <c r="M51" s="10" t="str">
        <f t="shared" si="3"/>
        <v xml:space="preserve">MOBILE MONEY </v>
      </c>
      <c r="N51" s="10" t="s">
        <v>57</v>
      </c>
      <c r="O51" s="10" t="str">
        <f t="shared" si="4"/>
        <v xml:space="preserve">Mobile Money </v>
      </c>
      <c r="P51" s="10" t="s">
        <v>19</v>
      </c>
      <c r="Q51" s="10" t="str">
        <f t="shared" si="5"/>
        <v>Double Entry</v>
      </c>
    </row>
    <row r="52" spans="1:17" ht="14.25" customHeight="1">
      <c r="A52" s="8">
        <v>45562</v>
      </c>
      <c r="B52" s="10" t="str">
        <f t="shared" si="0"/>
        <v>West</v>
      </c>
      <c r="C52" s="10" t="s">
        <v>54</v>
      </c>
      <c r="D52" s="10" t="s">
        <v>59</v>
      </c>
      <c r="E52" s="10" t="str">
        <f t="shared" si="1"/>
        <v>Charlie</v>
      </c>
      <c r="F52" s="10" t="s">
        <v>29</v>
      </c>
      <c r="G52" s="9" t="s">
        <v>37</v>
      </c>
      <c r="H52" s="10" t="s">
        <v>67</v>
      </c>
      <c r="I52" s="10">
        <v>11</v>
      </c>
      <c r="J52" s="10">
        <v>133.29</v>
      </c>
      <c r="K52" s="10">
        <f t="shared" si="2"/>
        <v>1466.1899999999998</v>
      </c>
      <c r="L52" s="10" t="s">
        <v>160</v>
      </c>
      <c r="M52" s="10" t="str">
        <f t="shared" si="3"/>
        <v>CREDIT CARD</v>
      </c>
      <c r="N52" s="10" t="s">
        <v>75</v>
      </c>
      <c r="O52" s="10" t="str">
        <f t="shared" si="4"/>
        <v>Credit Card</v>
      </c>
      <c r="P52" s="10" t="s">
        <v>19</v>
      </c>
      <c r="Q52" s="10" t="str">
        <f t="shared" si="5"/>
        <v>Double Entry</v>
      </c>
    </row>
    <row r="53" spans="1:17" ht="14.25" customHeight="1">
      <c r="A53" s="8">
        <v>45396</v>
      </c>
      <c r="B53" s="10" t="str">
        <f t="shared" si="0"/>
        <v>SOUTH</v>
      </c>
      <c r="C53" s="10" t="s">
        <v>46</v>
      </c>
      <c r="D53" s="10" t="s">
        <v>22</v>
      </c>
      <c r="E53" s="10" t="str">
        <f t="shared" si="1"/>
        <v>Bob</v>
      </c>
      <c r="F53" s="10" t="s">
        <v>36</v>
      </c>
      <c r="G53" s="9" t="s">
        <v>43</v>
      </c>
      <c r="H53" s="10" t="s">
        <v>67</v>
      </c>
      <c r="I53" s="10">
        <v>17</v>
      </c>
      <c r="J53" s="10">
        <v>26.71</v>
      </c>
      <c r="K53" s="10">
        <f t="shared" si="2"/>
        <v>454.07</v>
      </c>
      <c r="L53" s="10" t="s">
        <v>162</v>
      </c>
      <c r="M53" s="9" t="str">
        <f t="shared" si="3"/>
        <v>UNKONWN</v>
      </c>
      <c r="N53" s="9" t="s">
        <v>521</v>
      </c>
      <c r="O53" s="9" t="str">
        <f t="shared" si="4"/>
        <v>Unkonwn</v>
      </c>
      <c r="P53" s="10" t="s">
        <v>40</v>
      </c>
      <c r="Q53" s="10" t="str">
        <f t="shared" si="5"/>
        <v>Urgent</v>
      </c>
    </row>
    <row r="54" spans="1:17" ht="14.25" customHeight="1">
      <c r="A54" s="8">
        <v>45512</v>
      </c>
      <c r="B54" s="9" t="str">
        <f t="shared" si="0"/>
        <v>North</v>
      </c>
      <c r="C54" s="9" t="s">
        <v>12</v>
      </c>
      <c r="D54" s="10" t="s">
        <v>42</v>
      </c>
      <c r="E54" s="10" t="str">
        <f t="shared" si="1"/>
        <v>Alice</v>
      </c>
      <c r="F54" s="10" t="s">
        <v>47</v>
      </c>
      <c r="G54" s="9" t="s">
        <v>521</v>
      </c>
      <c r="H54" s="10" t="s">
        <v>88</v>
      </c>
      <c r="I54" s="10">
        <v>19</v>
      </c>
      <c r="J54" s="10">
        <v>414.2</v>
      </c>
      <c r="K54" s="10">
        <f t="shared" si="2"/>
        <v>7869.8</v>
      </c>
      <c r="L54" s="10" t="s">
        <v>164</v>
      </c>
      <c r="M54" s="10" t="str">
        <f t="shared" si="3"/>
        <v>CREDIT CARD</v>
      </c>
      <c r="N54" s="10" t="s">
        <v>75</v>
      </c>
      <c r="O54" s="10" t="str">
        <f t="shared" si="4"/>
        <v>Credit Card</v>
      </c>
      <c r="P54" s="10" t="s">
        <v>83</v>
      </c>
      <c r="Q54" s="10" t="str">
        <f t="shared" si="5"/>
        <v>Check Stock</v>
      </c>
    </row>
    <row r="55" spans="1:17" ht="14.25" customHeight="1">
      <c r="A55" s="8">
        <v>45522</v>
      </c>
      <c r="B55" s="10" t="str">
        <f t="shared" si="0"/>
        <v>South</v>
      </c>
      <c r="C55" s="10" t="s">
        <v>21</v>
      </c>
      <c r="D55" s="10" t="s">
        <v>22</v>
      </c>
      <c r="E55" s="10" t="str">
        <f t="shared" si="1"/>
        <v>Bob</v>
      </c>
      <c r="F55" s="10" t="s">
        <v>29</v>
      </c>
      <c r="G55" s="9" t="s">
        <v>521</v>
      </c>
      <c r="H55" s="10" t="s">
        <v>117</v>
      </c>
      <c r="I55" s="10">
        <v>8</v>
      </c>
      <c r="J55" s="10">
        <v>479.25</v>
      </c>
      <c r="K55" s="10">
        <f t="shared" si="2"/>
        <v>3834</v>
      </c>
      <c r="L55" s="10" t="s">
        <v>102</v>
      </c>
      <c r="M55" s="9" t="str">
        <f t="shared" si="3"/>
        <v>UNKONWN</v>
      </c>
      <c r="N55" s="9" t="s">
        <v>521</v>
      </c>
      <c r="O55" s="9" t="str">
        <f t="shared" si="4"/>
        <v>Unkonwn</v>
      </c>
      <c r="P55" s="10" t="s">
        <v>52</v>
      </c>
      <c r="Q55" s="10" t="str">
        <f t="shared" si="5"/>
        <v>Follow Up</v>
      </c>
    </row>
    <row r="56" spans="1:17" ht="14.25" customHeight="1">
      <c r="A56" s="8">
        <v>45583</v>
      </c>
      <c r="B56" s="10" t="str">
        <f t="shared" si="0"/>
        <v>West</v>
      </c>
      <c r="C56" s="10" t="s">
        <v>54</v>
      </c>
      <c r="D56" s="10" t="s">
        <v>77</v>
      </c>
      <c r="E56" s="10" t="str">
        <f t="shared" si="1"/>
        <v>Diana</v>
      </c>
      <c r="F56" s="10" t="s">
        <v>29</v>
      </c>
      <c r="G56" s="9" t="s">
        <v>37</v>
      </c>
      <c r="H56" s="10" t="s">
        <v>127</v>
      </c>
      <c r="I56" s="10">
        <v>9</v>
      </c>
      <c r="J56" s="10">
        <v>331.69</v>
      </c>
      <c r="K56" s="10">
        <f t="shared" si="2"/>
        <v>2985.21</v>
      </c>
      <c r="L56" s="10" t="s">
        <v>167</v>
      </c>
      <c r="M56" s="10" t="str">
        <f t="shared" si="3"/>
        <v>CASH</v>
      </c>
      <c r="N56" s="10" t="s">
        <v>65</v>
      </c>
      <c r="O56" s="10" t="str">
        <f t="shared" si="4"/>
        <v>Cash</v>
      </c>
      <c r="P56" s="10" t="s">
        <v>19</v>
      </c>
      <c r="Q56" s="10" t="str">
        <f t="shared" si="5"/>
        <v>Double Entry</v>
      </c>
    </row>
    <row r="57" spans="1:17" ht="14.25" customHeight="1">
      <c r="A57" s="8">
        <v>45465</v>
      </c>
      <c r="B57" s="10" t="str">
        <f t="shared" si="0"/>
        <v>SOUTH</v>
      </c>
      <c r="C57" s="10" t="s">
        <v>46</v>
      </c>
      <c r="D57" s="10" t="s">
        <v>59</v>
      </c>
      <c r="E57" s="10" t="str">
        <f t="shared" si="1"/>
        <v>Charlie</v>
      </c>
      <c r="F57" s="10" t="s">
        <v>50</v>
      </c>
      <c r="G57" s="9" t="s">
        <v>15</v>
      </c>
      <c r="H57" s="10" t="s">
        <v>169</v>
      </c>
      <c r="I57" s="10">
        <v>2</v>
      </c>
      <c r="J57" s="10">
        <v>497.48</v>
      </c>
      <c r="K57" s="10">
        <f t="shared" si="2"/>
        <v>994.96</v>
      </c>
      <c r="L57" s="10" t="s">
        <v>170</v>
      </c>
      <c r="M57" s="9" t="str">
        <f t="shared" si="3"/>
        <v>UNKONWN</v>
      </c>
      <c r="N57" s="9" t="s">
        <v>521</v>
      </c>
      <c r="O57" s="9" t="str">
        <f t="shared" si="4"/>
        <v>Unkonwn</v>
      </c>
      <c r="P57" s="10" t="s">
        <v>40</v>
      </c>
      <c r="Q57" s="10" t="str">
        <f t="shared" si="5"/>
        <v>Urgent</v>
      </c>
    </row>
    <row r="58" spans="1:17" ht="14.25" customHeight="1">
      <c r="A58" s="8">
        <v>45509</v>
      </c>
      <c r="B58" s="10" t="str">
        <f t="shared" si="0"/>
        <v>East</v>
      </c>
      <c r="C58" s="10" t="s">
        <v>35</v>
      </c>
      <c r="D58" s="10" t="s">
        <v>62</v>
      </c>
      <c r="E58" s="10" t="str">
        <f t="shared" si="1"/>
        <v>Hannah</v>
      </c>
      <c r="F58" s="10" t="s">
        <v>50</v>
      </c>
      <c r="G58" s="9" t="s">
        <v>43</v>
      </c>
      <c r="H58" s="10" t="s">
        <v>30</v>
      </c>
      <c r="I58" s="10">
        <v>15</v>
      </c>
      <c r="J58" s="10">
        <v>360.16</v>
      </c>
      <c r="K58" s="10">
        <f t="shared" si="2"/>
        <v>5402.4000000000005</v>
      </c>
      <c r="L58" s="10" t="s">
        <v>172</v>
      </c>
      <c r="M58" s="10" t="str">
        <f t="shared" si="3"/>
        <v>CREDIT CARD</v>
      </c>
      <c r="N58" s="10" t="s">
        <v>75</v>
      </c>
      <c r="O58" s="10" t="str">
        <f t="shared" si="4"/>
        <v>Credit Card</v>
      </c>
      <c r="P58" s="10" t="s">
        <v>40</v>
      </c>
      <c r="Q58" s="10" t="str">
        <f t="shared" si="5"/>
        <v>Urgent</v>
      </c>
    </row>
    <row r="59" spans="1:17" ht="14.25" customHeight="1">
      <c r="A59" s="8">
        <v>45549</v>
      </c>
      <c r="B59" s="10" t="str">
        <f t="shared" si="0"/>
        <v>South</v>
      </c>
      <c r="C59" s="10" t="s">
        <v>21</v>
      </c>
      <c r="D59" s="10" t="s">
        <v>87</v>
      </c>
      <c r="E59" s="10" t="str">
        <f t="shared" si="1"/>
        <v>Ethan</v>
      </c>
      <c r="F59" s="10" t="s">
        <v>47</v>
      </c>
      <c r="G59" s="9" t="s">
        <v>15</v>
      </c>
      <c r="H59" s="10" t="s">
        <v>55</v>
      </c>
      <c r="I59" s="10">
        <v>5</v>
      </c>
      <c r="J59" s="10">
        <v>112.67</v>
      </c>
      <c r="K59" s="10">
        <f t="shared" si="2"/>
        <v>563.35</v>
      </c>
      <c r="L59" s="10" t="s">
        <v>173</v>
      </c>
      <c r="M59" s="10" t="str">
        <f t="shared" si="3"/>
        <v>BANK TRANSFER</v>
      </c>
      <c r="N59" s="10" t="s">
        <v>18</v>
      </c>
      <c r="O59" s="10" t="str">
        <f t="shared" si="4"/>
        <v>Bank Transfer</v>
      </c>
      <c r="P59" s="9" t="s">
        <v>523</v>
      </c>
      <c r="Q59" s="9" t="str">
        <f t="shared" si="5"/>
        <v>No Comments</v>
      </c>
    </row>
    <row r="60" spans="1:17" ht="14.25" customHeight="1">
      <c r="A60" s="8">
        <v>45417</v>
      </c>
      <c r="B60" s="10" t="str">
        <f t="shared" si="0"/>
        <v>South</v>
      </c>
      <c r="C60" s="10" t="s">
        <v>21</v>
      </c>
      <c r="D60" s="10" t="s">
        <v>77</v>
      </c>
      <c r="E60" s="10" t="str">
        <f t="shared" si="1"/>
        <v>Diana</v>
      </c>
      <c r="F60" s="10" t="s">
        <v>23</v>
      </c>
      <c r="G60" s="9" t="s">
        <v>43</v>
      </c>
      <c r="H60" s="10" t="s">
        <v>55</v>
      </c>
      <c r="I60" s="10">
        <v>2</v>
      </c>
      <c r="J60" s="10">
        <v>328.65</v>
      </c>
      <c r="K60" s="10">
        <f t="shared" si="2"/>
        <v>657.3</v>
      </c>
      <c r="L60" s="10" t="s">
        <v>175</v>
      </c>
      <c r="M60" s="10" t="str">
        <f t="shared" si="3"/>
        <v>CASH</v>
      </c>
      <c r="N60" s="10" t="s">
        <v>65</v>
      </c>
      <c r="O60" s="10" t="str">
        <f t="shared" si="4"/>
        <v>Cash</v>
      </c>
      <c r="P60" s="9" t="s">
        <v>523</v>
      </c>
      <c r="Q60" s="9" t="str">
        <f t="shared" si="5"/>
        <v>No Comments</v>
      </c>
    </row>
    <row r="61" spans="1:17" ht="14.25" customHeight="1">
      <c r="A61" s="8">
        <v>45302</v>
      </c>
      <c r="B61" s="10" t="str">
        <f t="shared" si="0"/>
        <v>South</v>
      </c>
      <c r="C61" s="10" t="s">
        <v>21</v>
      </c>
      <c r="D61" s="10" t="s">
        <v>59</v>
      </c>
      <c r="E61" s="10" t="str">
        <f t="shared" si="1"/>
        <v>Charlie</v>
      </c>
      <c r="F61" s="10" t="s">
        <v>14</v>
      </c>
      <c r="G61" s="9" t="s">
        <v>43</v>
      </c>
      <c r="H61" s="10" t="s">
        <v>30</v>
      </c>
      <c r="I61" s="10">
        <v>14</v>
      </c>
      <c r="J61" s="10">
        <v>464.52</v>
      </c>
      <c r="K61" s="10">
        <f t="shared" si="2"/>
        <v>6503.28</v>
      </c>
      <c r="L61" s="10" t="s">
        <v>51</v>
      </c>
      <c r="M61" s="9" t="str">
        <f t="shared" si="3"/>
        <v>UNKONWN</v>
      </c>
      <c r="N61" s="9" t="s">
        <v>521</v>
      </c>
      <c r="O61" s="9" t="str">
        <f t="shared" si="4"/>
        <v>Unkonwn</v>
      </c>
      <c r="P61" s="10" t="s">
        <v>52</v>
      </c>
      <c r="Q61" s="10" t="str">
        <f t="shared" si="5"/>
        <v>Follow Up</v>
      </c>
    </row>
    <row r="62" spans="1:17" ht="14.25" customHeight="1">
      <c r="A62" s="8">
        <v>45515</v>
      </c>
      <c r="B62" s="9" t="str">
        <f t="shared" si="0"/>
        <v>North</v>
      </c>
      <c r="C62" s="9" t="s">
        <v>12</v>
      </c>
      <c r="D62" s="10" t="s">
        <v>77</v>
      </c>
      <c r="E62" s="10" t="str">
        <f t="shared" si="1"/>
        <v>Diana</v>
      </c>
      <c r="F62" s="10" t="s">
        <v>14</v>
      </c>
      <c r="G62" s="10" t="s">
        <v>70</v>
      </c>
      <c r="H62" s="10" t="s">
        <v>101</v>
      </c>
      <c r="I62" s="10">
        <v>16</v>
      </c>
      <c r="J62" s="10">
        <v>494.4</v>
      </c>
      <c r="K62" s="10">
        <f t="shared" si="2"/>
        <v>7910.4</v>
      </c>
      <c r="L62" s="10" t="s">
        <v>177</v>
      </c>
      <c r="M62" s="10" t="str">
        <f t="shared" si="3"/>
        <v>MOBILE MONEY</v>
      </c>
      <c r="N62" s="10" t="s">
        <v>32</v>
      </c>
      <c r="O62" s="10" t="str">
        <f t="shared" si="4"/>
        <v>Mobile Money</v>
      </c>
      <c r="P62" s="10" t="s">
        <v>52</v>
      </c>
      <c r="Q62" s="10" t="str">
        <f t="shared" si="5"/>
        <v>Follow Up</v>
      </c>
    </row>
    <row r="63" spans="1:17" ht="14.25" customHeight="1">
      <c r="A63" s="8">
        <v>45330</v>
      </c>
      <c r="B63" s="9" t="str">
        <f t="shared" si="0"/>
        <v>Unknow</v>
      </c>
      <c r="C63" s="9" t="s">
        <v>522</v>
      </c>
      <c r="D63" s="10" t="s">
        <v>62</v>
      </c>
      <c r="E63" s="10" t="str">
        <f t="shared" si="1"/>
        <v>Hannah</v>
      </c>
      <c r="F63" s="10" t="s">
        <v>29</v>
      </c>
      <c r="G63" s="9" t="s">
        <v>521</v>
      </c>
      <c r="H63" s="10" t="s">
        <v>67</v>
      </c>
      <c r="I63" s="10">
        <v>2</v>
      </c>
      <c r="J63" s="10">
        <v>396.02</v>
      </c>
      <c r="K63" s="10">
        <f t="shared" si="2"/>
        <v>792.04</v>
      </c>
      <c r="L63" s="10" t="s">
        <v>179</v>
      </c>
      <c r="M63" s="10" t="str">
        <f t="shared" si="3"/>
        <v>CASH</v>
      </c>
      <c r="N63" s="10" t="s">
        <v>93</v>
      </c>
      <c r="O63" s="10" t="str">
        <f t="shared" si="4"/>
        <v>Cash</v>
      </c>
      <c r="P63" s="10" t="s">
        <v>33</v>
      </c>
      <c r="Q63" s="10" t="str">
        <f t="shared" si="5"/>
        <v>Priority</v>
      </c>
    </row>
    <row r="64" spans="1:17" ht="14.25" customHeight="1">
      <c r="A64" s="8">
        <v>45399</v>
      </c>
      <c r="B64" s="9" t="str">
        <f t="shared" si="0"/>
        <v>Unknow</v>
      </c>
      <c r="C64" s="9" t="s">
        <v>522</v>
      </c>
      <c r="D64" s="10" t="s">
        <v>13</v>
      </c>
      <c r="E64" s="10" t="str">
        <f t="shared" si="1"/>
        <v>Faith</v>
      </c>
      <c r="F64" s="10" t="s">
        <v>47</v>
      </c>
      <c r="G64" s="9" t="s">
        <v>37</v>
      </c>
      <c r="H64" s="10" t="s">
        <v>101</v>
      </c>
      <c r="I64" s="10">
        <v>19</v>
      </c>
      <c r="J64" s="10">
        <v>207.07</v>
      </c>
      <c r="K64" s="10">
        <f t="shared" si="2"/>
        <v>3934.33</v>
      </c>
      <c r="L64" s="10" t="s">
        <v>181</v>
      </c>
      <c r="M64" s="10" t="str">
        <f t="shared" si="3"/>
        <v xml:space="preserve">MOBILE MONEY </v>
      </c>
      <c r="N64" s="10" t="s">
        <v>57</v>
      </c>
      <c r="O64" s="10" t="str">
        <f t="shared" si="4"/>
        <v xml:space="preserve">Mobile Money </v>
      </c>
      <c r="P64" s="10" t="s">
        <v>19</v>
      </c>
      <c r="Q64" s="10" t="str">
        <f t="shared" si="5"/>
        <v>Double Entry</v>
      </c>
    </row>
    <row r="65" spans="1:17" ht="14.25" customHeight="1">
      <c r="A65" s="8">
        <v>45511</v>
      </c>
      <c r="B65" s="10" t="str">
        <f t="shared" si="0"/>
        <v>East</v>
      </c>
      <c r="C65" s="10" t="s">
        <v>146</v>
      </c>
      <c r="D65" s="10" t="s">
        <v>87</v>
      </c>
      <c r="E65" s="10" t="str">
        <f t="shared" si="1"/>
        <v>Ethan</v>
      </c>
      <c r="F65" s="10" t="s">
        <v>29</v>
      </c>
      <c r="G65" s="9" t="s">
        <v>15</v>
      </c>
      <c r="H65" s="10" t="s">
        <v>183</v>
      </c>
      <c r="I65" s="10">
        <v>10</v>
      </c>
      <c r="J65" s="10">
        <v>133.44999999999999</v>
      </c>
      <c r="K65" s="10">
        <f t="shared" si="2"/>
        <v>1334.5</v>
      </c>
      <c r="L65" s="10" t="s">
        <v>184</v>
      </c>
      <c r="M65" s="9" t="str">
        <f t="shared" si="3"/>
        <v>UNKONWN</v>
      </c>
      <c r="N65" s="9" t="s">
        <v>521</v>
      </c>
      <c r="O65" s="9" t="str">
        <f t="shared" si="4"/>
        <v>Unkonwn</v>
      </c>
      <c r="P65" s="10" t="s">
        <v>52</v>
      </c>
      <c r="Q65" s="10" t="str">
        <f t="shared" si="5"/>
        <v>Follow Up</v>
      </c>
    </row>
    <row r="66" spans="1:17" ht="14.25" customHeight="1">
      <c r="A66" s="8">
        <v>45386</v>
      </c>
      <c r="B66" s="10" t="str">
        <f t="shared" si="0"/>
        <v>East</v>
      </c>
      <c r="C66" s="10" t="s">
        <v>35</v>
      </c>
      <c r="D66" s="10" t="s">
        <v>62</v>
      </c>
      <c r="E66" s="10" t="str">
        <f t="shared" si="1"/>
        <v>Hannah</v>
      </c>
      <c r="F66" s="10" t="s">
        <v>47</v>
      </c>
      <c r="G66" s="10" t="s">
        <v>70</v>
      </c>
      <c r="H66" s="10" t="s">
        <v>25</v>
      </c>
      <c r="I66" s="10">
        <v>1</v>
      </c>
      <c r="J66" s="10">
        <v>83.97</v>
      </c>
      <c r="K66" s="10">
        <f t="shared" si="2"/>
        <v>83.97</v>
      </c>
      <c r="L66" s="10" t="s">
        <v>186</v>
      </c>
      <c r="M66" s="10" t="str">
        <f t="shared" si="3"/>
        <v>CASH</v>
      </c>
      <c r="N66" s="10" t="s">
        <v>93</v>
      </c>
      <c r="O66" s="10" t="str">
        <f t="shared" si="4"/>
        <v>Cash</v>
      </c>
      <c r="P66" s="10" t="s">
        <v>40</v>
      </c>
      <c r="Q66" s="10" t="str">
        <f t="shared" si="5"/>
        <v>Urgent</v>
      </c>
    </row>
    <row r="67" spans="1:17" ht="14.25" customHeight="1">
      <c r="A67" s="8">
        <v>45351</v>
      </c>
      <c r="B67" s="9" t="str">
        <f t="shared" si="0"/>
        <v>North</v>
      </c>
      <c r="C67" s="9" t="s">
        <v>12</v>
      </c>
      <c r="D67" s="10" t="s">
        <v>62</v>
      </c>
      <c r="E67" s="10" t="str">
        <f t="shared" si="1"/>
        <v>Hannah</v>
      </c>
      <c r="F67" s="10" t="s">
        <v>36</v>
      </c>
      <c r="G67" s="9" t="s">
        <v>15</v>
      </c>
      <c r="H67" s="10" t="s">
        <v>117</v>
      </c>
      <c r="I67" s="10">
        <v>11</v>
      </c>
      <c r="J67" s="10">
        <v>251.34</v>
      </c>
      <c r="K67" s="10">
        <f t="shared" si="2"/>
        <v>2764.7400000000002</v>
      </c>
      <c r="L67" s="10" t="s">
        <v>173</v>
      </c>
      <c r="M67" s="9" t="str">
        <f t="shared" si="3"/>
        <v>UNKONWN</v>
      </c>
      <c r="N67" s="9" t="s">
        <v>521</v>
      </c>
      <c r="O67" s="9" t="str">
        <f t="shared" si="4"/>
        <v>Unkonwn</v>
      </c>
      <c r="P67" s="10" t="s">
        <v>52</v>
      </c>
      <c r="Q67" s="10" t="str">
        <f t="shared" si="5"/>
        <v>Follow Up</v>
      </c>
    </row>
    <row r="68" spans="1:17" ht="14.25" customHeight="1">
      <c r="A68" s="8">
        <v>45306</v>
      </c>
      <c r="B68" s="10" t="str">
        <f t="shared" si="0"/>
        <v>East</v>
      </c>
      <c r="C68" s="10" t="s">
        <v>146</v>
      </c>
      <c r="D68" s="10" t="s">
        <v>13</v>
      </c>
      <c r="E68" s="10" t="str">
        <f t="shared" si="1"/>
        <v>Faith</v>
      </c>
      <c r="F68" s="10" t="s">
        <v>47</v>
      </c>
      <c r="G68" s="9" t="s">
        <v>15</v>
      </c>
      <c r="H68" s="10" t="s">
        <v>88</v>
      </c>
      <c r="I68" s="10">
        <v>8</v>
      </c>
      <c r="J68" s="10">
        <v>97.51</v>
      </c>
      <c r="K68" s="10">
        <f t="shared" si="2"/>
        <v>780.08</v>
      </c>
      <c r="L68" s="10" t="s">
        <v>51</v>
      </c>
      <c r="M68" s="10" t="str">
        <f t="shared" si="3"/>
        <v>MOBILE MONEY</v>
      </c>
      <c r="N68" s="10" t="s">
        <v>32</v>
      </c>
      <c r="O68" s="10" t="str">
        <f t="shared" si="4"/>
        <v>Mobile Money</v>
      </c>
      <c r="P68" s="9" t="s">
        <v>523</v>
      </c>
      <c r="Q68" s="9" t="str">
        <f t="shared" si="5"/>
        <v>No Comments</v>
      </c>
    </row>
    <row r="69" spans="1:17" ht="14.25" customHeight="1">
      <c r="A69" s="8">
        <v>45442</v>
      </c>
      <c r="B69" s="10" t="str">
        <f t="shared" si="0"/>
        <v>West</v>
      </c>
      <c r="C69" s="10" t="s">
        <v>54</v>
      </c>
      <c r="D69" s="10" t="s">
        <v>22</v>
      </c>
      <c r="E69" s="10" t="str">
        <f t="shared" si="1"/>
        <v>Bob</v>
      </c>
      <c r="F69" s="10" t="s">
        <v>23</v>
      </c>
      <c r="G69" s="9" t="s">
        <v>521</v>
      </c>
      <c r="H69" s="9" t="s">
        <v>91</v>
      </c>
      <c r="I69" s="10">
        <v>13</v>
      </c>
      <c r="J69" s="10">
        <v>378.01</v>
      </c>
      <c r="K69" s="10">
        <f t="shared" si="2"/>
        <v>4914.13</v>
      </c>
      <c r="L69" s="10" t="s">
        <v>189</v>
      </c>
      <c r="M69" s="9" t="str">
        <f t="shared" si="3"/>
        <v>UNKONWN</v>
      </c>
      <c r="N69" s="9" t="s">
        <v>521</v>
      </c>
      <c r="O69" s="9" t="str">
        <f t="shared" si="4"/>
        <v>Unkonwn</v>
      </c>
      <c r="P69" s="9" t="s">
        <v>523</v>
      </c>
      <c r="Q69" s="9" t="str">
        <f t="shared" si="5"/>
        <v>No Comments</v>
      </c>
    </row>
    <row r="70" spans="1:17" ht="14.25" customHeight="1">
      <c r="A70" s="8">
        <v>45539</v>
      </c>
      <c r="B70" s="9" t="str">
        <f t="shared" si="0"/>
        <v>Unknow</v>
      </c>
      <c r="C70" s="9" t="s">
        <v>522</v>
      </c>
      <c r="D70" s="10" t="s">
        <v>28</v>
      </c>
      <c r="E70" s="10" t="str">
        <f t="shared" si="1"/>
        <v>George</v>
      </c>
      <c r="F70" s="10" t="s">
        <v>29</v>
      </c>
      <c r="G70" s="9" t="s">
        <v>43</v>
      </c>
      <c r="H70" s="10" t="s">
        <v>25</v>
      </c>
      <c r="I70" s="10">
        <v>5</v>
      </c>
      <c r="J70" s="10">
        <v>39.68</v>
      </c>
      <c r="K70" s="10">
        <f t="shared" si="2"/>
        <v>198.4</v>
      </c>
      <c r="L70" s="10" t="s">
        <v>158</v>
      </c>
      <c r="M70" s="10" t="str">
        <f t="shared" si="3"/>
        <v>CASH</v>
      </c>
      <c r="N70" s="10" t="s">
        <v>93</v>
      </c>
      <c r="O70" s="10" t="str">
        <f t="shared" si="4"/>
        <v>Cash</v>
      </c>
      <c r="P70" s="10" t="s">
        <v>33</v>
      </c>
      <c r="Q70" s="10" t="str">
        <f t="shared" si="5"/>
        <v>Priority</v>
      </c>
    </row>
    <row r="71" spans="1:17" ht="14.25" customHeight="1">
      <c r="A71" s="8">
        <v>45413</v>
      </c>
      <c r="B71" s="10" t="str">
        <f t="shared" si="0"/>
        <v>South</v>
      </c>
      <c r="C71" s="10" t="s">
        <v>21</v>
      </c>
      <c r="D71" s="10" t="s">
        <v>22</v>
      </c>
      <c r="E71" s="10" t="str">
        <f t="shared" si="1"/>
        <v>Bob</v>
      </c>
      <c r="F71" s="10" t="s">
        <v>36</v>
      </c>
      <c r="G71" s="9" t="s">
        <v>37</v>
      </c>
      <c r="H71" s="10" t="s">
        <v>63</v>
      </c>
      <c r="I71" s="10">
        <v>4</v>
      </c>
      <c r="J71" s="10">
        <v>93.79</v>
      </c>
      <c r="K71" s="10">
        <f t="shared" si="2"/>
        <v>375.16</v>
      </c>
      <c r="L71" s="10" t="s">
        <v>192</v>
      </c>
      <c r="M71" s="10" t="str">
        <f t="shared" si="3"/>
        <v>BANK TRANSFER</v>
      </c>
      <c r="N71" s="10" t="s">
        <v>18</v>
      </c>
      <c r="O71" s="10" t="str">
        <f t="shared" si="4"/>
        <v>Bank Transfer</v>
      </c>
      <c r="P71" s="10" t="s">
        <v>33</v>
      </c>
      <c r="Q71" s="10" t="str">
        <f t="shared" si="5"/>
        <v>Priority</v>
      </c>
    </row>
    <row r="72" spans="1:17" ht="14.25" customHeight="1">
      <c r="A72" s="8">
        <v>45393</v>
      </c>
      <c r="B72" s="10" t="str">
        <f t="shared" si="0"/>
        <v>East</v>
      </c>
      <c r="C72" s="10" t="s">
        <v>35</v>
      </c>
      <c r="D72" s="10" t="s">
        <v>13</v>
      </c>
      <c r="E72" s="10" t="str">
        <f t="shared" si="1"/>
        <v>Faith</v>
      </c>
      <c r="F72" s="10" t="s">
        <v>29</v>
      </c>
      <c r="G72" s="9" t="s">
        <v>521</v>
      </c>
      <c r="H72" s="10" t="s">
        <v>38</v>
      </c>
      <c r="I72" s="10">
        <v>4</v>
      </c>
      <c r="J72" s="10">
        <v>313.02</v>
      </c>
      <c r="K72" s="10">
        <f t="shared" si="2"/>
        <v>1252.08</v>
      </c>
      <c r="L72" s="10" t="s">
        <v>143</v>
      </c>
      <c r="M72" s="10" t="str">
        <f t="shared" si="3"/>
        <v>BANK TRANSFER</v>
      </c>
      <c r="N72" s="10" t="s">
        <v>18</v>
      </c>
      <c r="O72" s="10" t="str">
        <f t="shared" si="4"/>
        <v>Bank Transfer</v>
      </c>
      <c r="P72" s="10" t="s">
        <v>52</v>
      </c>
      <c r="Q72" s="10" t="str">
        <f t="shared" si="5"/>
        <v>Follow Up</v>
      </c>
    </row>
    <row r="73" spans="1:17" ht="14.25" customHeight="1">
      <c r="A73" s="8">
        <v>45433</v>
      </c>
      <c r="B73" s="10" t="str">
        <f t="shared" si="0"/>
        <v>SOUTH</v>
      </c>
      <c r="C73" s="10" t="s">
        <v>46</v>
      </c>
      <c r="D73" s="10" t="s">
        <v>28</v>
      </c>
      <c r="E73" s="10" t="str">
        <f t="shared" si="1"/>
        <v>George</v>
      </c>
      <c r="F73" s="10" t="s">
        <v>29</v>
      </c>
      <c r="G73" s="10" t="s">
        <v>24</v>
      </c>
      <c r="H73" s="10" t="s">
        <v>127</v>
      </c>
      <c r="I73" s="10">
        <v>14</v>
      </c>
      <c r="J73" s="10">
        <v>321.86</v>
      </c>
      <c r="K73" s="10">
        <f t="shared" si="2"/>
        <v>4506.04</v>
      </c>
      <c r="L73" s="10" t="s">
        <v>153</v>
      </c>
      <c r="M73" s="10" t="str">
        <f t="shared" si="3"/>
        <v>BANK TRANSFER</v>
      </c>
      <c r="N73" s="10" t="s">
        <v>18</v>
      </c>
      <c r="O73" s="10" t="str">
        <f t="shared" si="4"/>
        <v>Bank Transfer</v>
      </c>
      <c r="P73" s="10" t="s">
        <v>83</v>
      </c>
      <c r="Q73" s="10" t="str">
        <f t="shared" si="5"/>
        <v>Check Stock</v>
      </c>
    </row>
    <row r="74" spans="1:17" ht="14.25" customHeight="1">
      <c r="A74" s="8">
        <v>45331</v>
      </c>
      <c r="B74" s="10" t="str">
        <f t="shared" si="0"/>
        <v>East</v>
      </c>
      <c r="C74" s="10" t="s">
        <v>35</v>
      </c>
      <c r="D74" s="10" t="s">
        <v>87</v>
      </c>
      <c r="E74" s="10" t="str">
        <f t="shared" si="1"/>
        <v>Ethan</v>
      </c>
      <c r="F74" s="10" t="s">
        <v>47</v>
      </c>
      <c r="G74" s="9" t="s">
        <v>43</v>
      </c>
      <c r="H74" s="10" t="s">
        <v>38</v>
      </c>
      <c r="I74" s="10">
        <v>13</v>
      </c>
      <c r="J74" s="10">
        <v>461.41</v>
      </c>
      <c r="K74" s="10">
        <f t="shared" si="2"/>
        <v>5998.33</v>
      </c>
      <c r="L74" s="10" t="s">
        <v>64</v>
      </c>
      <c r="M74" s="10" t="str">
        <f t="shared" si="3"/>
        <v>CASH</v>
      </c>
      <c r="N74" s="10" t="s">
        <v>65</v>
      </c>
      <c r="O74" s="10" t="str">
        <f t="shared" si="4"/>
        <v>Cash</v>
      </c>
      <c r="P74" s="10" t="s">
        <v>33</v>
      </c>
      <c r="Q74" s="10" t="str">
        <f t="shared" si="5"/>
        <v>Priority</v>
      </c>
    </row>
    <row r="75" spans="1:17" ht="14.25" customHeight="1">
      <c r="A75" s="8">
        <v>45339</v>
      </c>
      <c r="B75" s="10" t="str">
        <f t="shared" si="0"/>
        <v>South</v>
      </c>
      <c r="C75" s="10" t="s">
        <v>21</v>
      </c>
      <c r="D75" s="10" t="s">
        <v>28</v>
      </c>
      <c r="E75" s="10" t="str">
        <f t="shared" si="1"/>
        <v>George</v>
      </c>
      <c r="F75" s="10" t="s">
        <v>23</v>
      </c>
      <c r="G75" s="9" t="s">
        <v>43</v>
      </c>
      <c r="H75" s="10" t="s">
        <v>112</v>
      </c>
      <c r="I75" s="10">
        <v>20</v>
      </c>
      <c r="J75" s="10">
        <v>463.68</v>
      </c>
      <c r="K75" s="10">
        <f t="shared" si="2"/>
        <v>9273.6</v>
      </c>
      <c r="L75" s="10" t="s">
        <v>197</v>
      </c>
      <c r="M75" s="10" t="str">
        <f t="shared" si="3"/>
        <v>BANK TRANSFER</v>
      </c>
      <c r="N75" s="10" t="s">
        <v>18</v>
      </c>
      <c r="O75" s="10" t="str">
        <f t="shared" si="4"/>
        <v>Bank Transfer</v>
      </c>
      <c r="P75" s="9" t="s">
        <v>523</v>
      </c>
      <c r="Q75" s="9" t="str">
        <f t="shared" si="5"/>
        <v>No Comments</v>
      </c>
    </row>
    <row r="76" spans="1:17" ht="14.25" customHeight="1">
      <c r="A76" s="8">
        <v>45358</v>
      </c>
      <c r="B76" s="9" t="str">
        <f t="shared" si="0"/>
        <v>North</v>
      </c>
      <c r="C76" s="9" t="s">
        <v>12</v>
      </c>
      <c r="D76" s="10" t="s">
        <v>87</v>
      </c>
      <c r="E76" s="10" t="str">
        <f t="shared" si="1"/>
        <v>Ethan</v>
      </c>
      <c r="F76" s="10" t="s">
        <v>14</v>
      </c>
      <c r="G76" s="9" t="s">
        <v>43</v>
      </c>
      <c r="H76" s="10" t="s">
        <v>38</v>
      </c>
      <c r="I76" s="10">
        <v>4</v>
      </c>
      <c r="J76" s="10">
        <v>58.33</v>
      </c>
      <c r="K76" s="10">
        <f t="shared" si="2"/>
        <v>233.32</v>
      </c>
      <c r="L76" s="10" t="s">
        <v>199</v>
      </c>
      <c r="M76" s="10" t="str">
        <f t="shared" si="3"/>
        <v>CREDIT CARD</v>
      </c>
      <c r="N76" s="10" t="s">
        <v>75</v>
      </c>
      <c r="O76" s="10" t="str">
        <f t="shared" si="4"/>
        <v>Credit Card</v>
      </c>
      <c r="P76" s="10" t="s">
        <v>40</v>
      </c>
      <c r="Q76" s="10" t="str">
        <f t="shared" si="5"/>
        <v>Urgent</v>
      </c>
    </row>
    <row r="77" spans="1:17" ht="14.25" customHeight="1">
      <c r="A77" s="8">
        <v>45320</v>
      </c>
      <c r="B77" s="10" t="str">
        <f t="shared" si="0"/>
        <v>East</v>
      </c>
      <c r="C77" s="10" t="s">
        <v>35</v>
      </c>
      <c r="D77" s="10" t="s">
        <v>42</v>
      </c>
      <c r="E77" s="10" t="str">
        <f t="shared" si="1"/>
        <v>Alice</v>
      </c>
      <c r="F77" s="10" t="s">
        <v>50</v>
      </c>
      <c r="G77" s="10" t="s">
        <v>24</v>
      </c>
      <c r="H77" s="10" t="s">
        <v>67</v>
      </c>
      <c r="I77" s="10">
        <v>18</v>
      </c>
      <c r="J77" s="10">
        <v>392.56</v>
      </c>
      <c r="K77" s="10">
        <f t="shared" si="2"/>
        <v>7066.08</v>
      </c>
      <c r="L77" s="10" t="s">
        <v>155</v>
      </c>
      <c r="M77" s="10" t="str">
        <f t="shared" si="3"/>
        <v>CASH</v>
      </c>
      <c r="N77" s="10" t="s">
        <v>65</v>
      </c>
      <c r="O77" s="10" t="str">
        <f t="shared" si="4"/>
        <v>Cash</v>
      </c>
      <c r="P77" s="10" t="s">
        <v>19</v>
      </c>
      <c r="Q77" s="10" t="str">
        <f t="shared" si="5"/>
        <v>Double Entry</v>
      </c>
    </row>
    <row r="78" spans="1:17" ht="14.25" customHeight="1">
      <c r="A78" s="8">
        <v>45498</v>
      </c>
      <c r="B78" s="9" t="str">
        <f t="shared" si="0"/>
        <v>North</v>
      </c>
      <c r="C78" s="9" t="s">
        <v>12</v>
      </c>
      <c r="D78" s="10" t="s">
        <v>59</v>
      </c>
      <c r="E78" s="10" t="str">
        <f t="shared" si="1"/>
        <v>Charlie</v>
      </c>
      <c r="F78" s="10" t="s">
        <v>36</v>
      </c>
      <c r="G78" s="9" t="s">
        <v>43</v>
      </c>
      <c r="H78" s="10" t="s">
        <v>169</v>
      </c>
      <c r="I78" s="10">
        <v>13</v>
      </c>
      <c r="J78" s="10">
        <v>204.94</v>
      </c>
      <c r="K78" s="10">
        <f t="shared" si="2"/>
        <v>2664.22</v>
      </c>
      <c r="L78" s="10" t="s">
        <v>202</v>
      </c>
      <c r="M78" s="10" t="str">
        <f t="shared" si="3"/>
        <v>MOBILE MONEY</v>
      </c>
      <c r="N78" s="10" t="s">
        <v>32</v>
      </c>
      <c r="O78" s="10" t="str">
        <f t="shared" si="4"/>
        <v>Mobile Money</v>
      </c>
      <c r="P78" s="10" t="s">
        <v>83</v>
      </c>
      <c r="Q78" s="10" t="str">
        <f t="shared" si="5"/>
        <v>Check Stock</v>
      </c>
    </row>
    <row r="79" spans="1:17" ht="14.25" customHeight="1">
      <c r="A79" s="8">
        <v>45463</v>
      </c>
      <c r="B79" s="10" t="str">
        <f t="shared" si="0"/>
        <v>South</v>
      </c>
      <c r="C79" s="10" t="s">
        <v>21</v>
      </c>
      <c r="D79" s="10" t="s">
        <v>62</v>
      </c>
      <c r="E79" s="10" t="str">
        <f t="shared" si="1"/>
        <v>Hannah</v>
      </c>
      <c r="F79" s="10" t="s">
        <v>50</v>
      </c>
      <c r="G79" s="9" t="s">
        <v>43</v>
      </c>
      <c r="H79" s="10" t="s">
        <v>101</v>
      </c>
      <c r="I79" s="10">
        <v>11</v>
      </c>
      <c r="J79" s="10">
        <v>104.1</v>
      </c>
      <c r="K79" s="10">
        <f t="shared" si="2"/>
        <v>1145.0999999999999</v>
      </c>
      <c r="L79" s="10" t="s">
        <v>99</v>
      </c>
      <c r="M79" s="10" t="str">
        <f t="shared" si="3"/>
        <v>BANK TRANSFER</v>
      </c>
      <c r="N79" s="10" t="s">
        <v>18</v>
      </c>
      <c r="O79" s="10" t="str">
        <f t="shared" si="4"/>
        <v>Bank Transfer</v>
      </c>
      <c r="P79" s="10" t="s">
        <v>19</v>
      </c>
      <c r="Q79" s="10" t="str">
        <f t="shared" si="5"/>
        <v>Double Entry</v>
      </c>
    </row>
    <row r="80" spans="1:17" ht="14.25" customHeight="1">
      <c r="A80" s="8">
        <v>45517</v>
      </c>
      <c r="B80" s="10" t="str">
        <f t="shared" si="0"/>
        <v>East</v>
      </c>
      <c r="C80" s="10" t="s">
        <v>146</v>
      </c>
      <c r="D80" s="10" t="s">
        <v>13</v>
      </c>
      <c r="E80" s="10" t="str">
        <f t="shared" si="1"/>
        <v>Faith</v>
      </c>
      <c r="F80" s="10" t="s">
        <v>47</v>
      </c>
      <c r="G80" s="9" t="s">
        <v>37</v>
      </c>
      <c r="H80" s="10" t="s">
        <v>183</v>
      </c>
      <c r="I80" s="10">
        <v>8</v>
      </c>
      <c r="J80" s="10">
        <v>254.79</v>
      </c>
      <c r="K80" s="10">
        <f t="shared" si="2"/>
        <v>2038.32</v>
      </c>
      <c r="L80" s="10" t="s">
        <v>205</v>
      </c>
      <c r="M80" s="10" t="str">
        <f t="shared" si="3"/>
        <v>BANK TRANSFER</v>
      </c>
      <c r="N80" s="10" t="s">
        <v>18</v>
      </c>
      <c r="O80" s="10" t="str">
        <f t="shared" si="4"/>
        <v>Bank Transfer</v>
      </c>
      <c r="P80" s="10" t="s">
        <v>40</v>
      </c>
      <c r="Q80" s="10" t="str">
        <f t="shared" si="5"/>
        <v>Urgent</v>
      </c>
    </row>
    <row r="81" spans="1:17" ht="14.25" customHeight="1">
      <c r="A81" s="8">
        <v>45410</v>
      </c>
      <c r="B81" s="10" t="str">
        <f t="shared" si="0"/>
        <v>SOUTH</v>
      </c>
      <c r="C81" s="10" t="s">
        <v>46</v>
      </c>
      <c r="D81" s="10" t="s">
        <v>62</v>
      </c>
      <c r="E81" s="10" t="str">
        <f t="shared" si="1"/>
        <v>Hannah</v>
      </c>
      <c r="F81" s="10" t="s">
        <v>36</v>
      </c>
      <c r="G81" s="9" t="s">
        <v>43</v>
      </c>
      <c r="H81" s="10" t="s">
        <v>38</v>
      </c>
      <c r="I81" s="10">
        <v>3</v>
      </c>
      <c r="J81" s="10">
        <v>36.92</v>
      </c>
      <c r="K81" s="10">
        <f t="shared" si="2"/>
        <v>110.76</v>
      </c>
      <c r="L81" s="10" t="s">
        <v>207</v>
      </c>
      <c r="M81" s="9" t="str">
        <f t="shared" si="3"/>
        <v>UNKONWN</v>
      </c>
      <c r="N81" s="9" t="s">
        <v>521</v>
      </c>
      <c r="O81" s="9" t="str">
        <f t="shared" si="4"/>
        <v>Unkonwn</v>
      </c>
      <c r="P81" s="10" t="s">
        <v>52</v>
      </c>
      <c r="Q81" s="10" t="str">
        <f t="shared" si="5"/>
        <v>Follow Up</v>
      </c>
    </row>
    <row r="82" spans="1:17" ht="14.25" customHeight="1">
      <c r="A82" s="8">
        <v>45371</v>
      </c>
      <c r="B82" s="10" t="str">
        <f t="shared" si="0"/>
        <v>West</v>
      </c>
      <c r="C82" s="10" t="s">
        <v>54</v>
      </c>
      <c r="D82" s="10" t="s">
        <v>22</v>
      </c>
      <c r="E82" s="10" t="str">
        <f t="shared" si="1"/>
        <v>Bob</v>
      </c>
      <c r="F82" s="10" t="s">
        <v>47</v>
      </c>
      <c r="G82" s="10" t="s">
        <v>24</v>
      </c>
      <c r="H82" s="10" t="s">
        <v>101</v>
      </c>
      <c r="I82" s="10">
        <v>15</v>
      </c>
      <c r="J82" s="10">
        <v>467.78</v>
      </c>
      <c r="K82" s="10">
        <f t="shared" si="2"/>
        <v>7016.7</v>
      </c>
      <c r="L82" s="10" t="s">
        <v>209</v>
      </c>
      <c r="M82" s="10" t="str">
        <f t="shared" si="3"/>
        <v>MOBILE MONEY</v>
      </c>
      <c r="N82" s="10" t="s">
        <v>32</v>
      </c>
      <c r="O82" s="10" t="str">
        <f t="shared" si="4"/>
        <v>Mobile Money</v>
      </c>
      <c r="P82" s="9" t="s">
        <v>523</v>
      </c>
      <c r="Q82" s="9" t="str">
        <f t="shared" si="5"/>
        <v>No Comments</v>
      </c>
    </row>
    <row r="83" spans="1:17" ht="14.25" customHeight="1">
      <c r="A83" s="8">
        <v>45350</v>
      </c>
      <c r="B83" s="9" t="str">
        <f t="shared" si="0"/>
        <v>North</v>
      </c>
      <c r="C83" s="9" t="s">
        <v>12</v>
      </c>
      <c r="D83" s="10" t="s">
        <v>87</v>
      </c>
      <c r="E83" s="10" t="str">
        <f t="shared" si="1"/>
        <v>Ethan</v>
      </c>
      <c r="F83" s="10" t="s">
        <v>50</v>
      </c>
      <c r="G83" s="9" t="s">
        <v>521</v>
      </c>
      <c r="H83" s="10" t="s">
        <v>25</v>
      </c>
      <c r="I83" s="10">
        <v>4</v>
      </c>
      <c r="J83" s="10">
        <v>329.73</v>
      </c>
      <c r="K83" s="10">
        <f t="shared" si="2"/>
        <v>1318.92</v>
      </c>
      <c r="L83" s="10" t="s">
        <v>211</v>
      </c>
      <c r="M83" s="10" t="str">
        <f t="shared" si="3"/>
        <v>CASH</v>
      </c>
      <c r="N83" s="10" t="s">
        <v>65</v>
      </c>
      <c r="O83" s="10" t="str">
        <f t="shared" si="4"/>
        <v>Cash</v>
      </c>
      <c r="P83" s="10" t="s">
        <v>19</v>
      </c>
      <c r="Q83" s="10" t="str">
        <f t="shared" si="5"/>
        <v>Double Entry</v>
      </c>
    </row>
    <row r="84" spans="1:17" ht="14.25" customHeight="1">
      <c r="A84" s="8">
        <v>45581</v>
      </c>
      <c r="B84" s="9" t="str">
        <f t="shared" si="0"/>
        <v>Unknow</v>
      </c>
      <c r="C84" s="9" t="s">
        <v>522</v>
      </c>
      <c r="D84" s="10" t="s">
        <v>77</v>
      </c>
      <c r="E84" s="10" t="str">
        <f t="shared" si="1"/>
        <v>Diana</v>
      </c>
      <c r="F84" s="10" t="s">
        <v>29</v>
      </c>
      <c r="G84" s="9" t="s">
        <v>37</v>
      </c>
      <c r="H84" s="10" t="s">
        <v>213</v>
      </c>
      <c r="I84" s="10">
        <v>16</v>
      </c>
      <c r="J84" s="10">
        <v>244.98</v>
      </c>
      <c r="K84" s="10">
        <f t="shared" si="2"/>
        <v>3919.68</v>
      </c>
      <c r="L84" s="10" t="s">
        <v>74</v>
      </c>
      <c r="M84" s="9" t="str">
        <f t="shared" si="3"/>
        <v>UNKONWN</v>
      </c>
      <c r="N84" s="9" t="s">
        <v>521</v>
      </c>
      <c r="O84" s="9" t="str">
        <f t="shared" si="4"/>
        <v>Unkonwn</v>
      </c>
      <c r="P84" s="10" t="s">
        <v>52</v>
      </c>
      <c r="Q84" s="10" t="str">
        <f t="shared" si="5"/>
        <v>Follow Up</v>
      </c>
    </row>
    <row r="85" spans="1:17" ht="14.25" customHeight="1">
      <c r="A85" s="8">
        <v>45530</v>
      </c>
      <c r="B85" s="10" t="str">
        <f t="shared" si="0"/>
        <v>South</v>
      </c>
      <c r="C85" s="10" t="s">
        <v>21</v>
      </c>
      <c r="D85" s="10" t="s">
        <v>77</v>
      </c>
      <c r="E85" s="10" t="str">
        <f t="shared" si="1"/>
        <v>Diana</v>
      </c>
      <c r="F85" s="10" t="s">
        <v>14</v>
      </c>
      <c r="G85" s="9" t="s">
        <v>43</v>
      </c>
      <c r="H85" s="10" t="s">
        <v>169</v>
      </c>
      <c r="I85" s="10">
        <v>6</v>
      </c>
      <c r="J85" s="10">
        <v>315.5</v>
      </c>
      <c r="K85" s="10">
        <f t="shared" si="2"/>
        <v>1893</v>
      </c>
      <c r="L85" s="10" t="s">
        <v>215</v>
      </c>
      <c r="M85" s="10" t="str">
        <f t="shared" si="3"/>
        <v>BANK TRANSFER</v>
      </c>
      <c r="N85" s="10" t="s">
        <v>18</v>
      </c>
      <c r="O85" s="10" t="str">
        <f t="shared" si="4"/>
        <v>Bank Transfer</v>
      </c>
      <c r="P85" s="9" t="s">
        <v>523</v>
      </c>
      <c r="Q85" s="9" t="str">
        <f t="shared" si="5"/>
        <v>No Comments</v>
      </c>
    </row>
    <row r="86" spans="1:17" ht="14.25" customHeight="1">
      <c r="A86" s="8">
        <v>45349</v>
      </c>
      <c r="B86" s="10" t="str">
        <f t="shared" si="0"/>
        <v>SOUTH</v>
      </c>
      <c r="C86" s="10" t="s">
        <v>46</v>
      </c>
      <c r="D86" s="10" t="s">
        <v>13</v>
      </c>
      <c r="E86" s="10" t="str">
        <f t="shared" si="1"/>
        <v>Faith</v>
      </c>
      <c r="F86" s="10" t="s">
        <v>23</v>
      </c>
      <c r="G86" s="10" t="s">
        <v>24</v>
      </c>
      <c r="H86" s="10" t="s">
        <v>55</v>
      </c>
      <c r="I86" s="10">
        <v>15</v>
      </c>
      <c r="J86" s="10">
        <v>6.44</v>
      </c>
      <c r="K86" s="10">
        <f t="shared" si="2"/>
        <v>96.600000000000009</v>
      </c>
      <c r="L86" s="10" t="s">
        <v>155</v>
      </c>
      <c r="M86" s="10" t="str">
        <f t="shared" si="3"/>
        <v>CASH</v>
      </c>
      <c r="N86" s="10" t="s">
        <v>65</v>
      </c>
      <c r="O86" s="10" t="str">
        <f t="shared" si="4"/>
        <v>Cash</v>
      </c>
      <c r="P86" s="10" t="s">
        <v>40</v>
      </c>
      <c r="Q86" s="10" t="str">
        <f t="shared" si="5"/>
        <v>Urgent</v>
      </c>
    </row>
    <row r="87" spans="1:17" ht="14.25" customHeight="1">
      <c r="A87" s="8">
        <v>45358</v>
      </c>
      <c r="B87" s="10" t="str">
        <f t="shared" si="0"/>
        <v>East</v>
      </c>
      <c r="C87" s="10" t="s">
        <v>35</v>
      </c>
      <c r="D87" s="10" t="s">
        <v>22</v>
      </c>
      <c r="E87" s="10" t="str">
        <f t="shared" si="1"/>
        <v>Bob</v>
      </c>
      <c r="F87" s="10" t="s">
        <v>29</v>
      </c>
      <c r="G87" s="9" t="s">
        <v>521</v>
      </c>
      <c r="H87" s="10" t="s">
        <v>71</v>
      </c>
      <c r="I87" s="10">
        <v>17</v>
      </c>
      <c r="J87" s="10">
        <v>252.93</v>
      </c>
      <c r="K87" s="10">
        <f t="shared" si="2"/>
        <v>4299.8100000000004</v>
      </c>
      <c r="L87" s="10" t="s">
        <v>217</v>
      </c>
      <c r="M87" s="10" t="str">
        <f t="shared" si="3"/>
        <v>BANK TRANSFER</v>
      </c>
      <c r="N87" s="10" t="s">
        <v>18</v>
      </c>
      <c r="O87" s="10" t="str">
        <f t="shared" si="4"/>
        <v>Bank Transfer</v>
      </c>
      <c r="P87" s="10" t="s">
        <v>52</v>
      </c>
      <c r="Q87" s="10" t="str">
        <f t="shared" si="5"/>
        <v>Follow Up</v>
      </c>
    </row>
    <row r="88" spans="1:17" ht="14.25" customHeight="1">
      <c r="A88" s="8">
        <v>45367</v>
      </c>
      <c r="B88" s="10" t="str">
        <f t="shared" si="0"/>
        <v>East</v>
      </c>
      <c r="C88" s="10" t="s">
        <v>35</v>
      </c>
      <c r="D88" s="10" t="s">
        <v>42</v>
      </c>
      <c r="E88" s="10" t="str">
        <f t="shared" si="1"/>
        <v>Alice</v>
      </c>
      <c r="F88" s="10" t="s">
        <v>29</v>
      </c>
      <c r="G88" s="9" t="s">
        <v>37</v>
      </c>
      <c r="H88" s="10" t="s">
        <v>25</v>
      </c>
      <c r="I88" s="10">
        <v>13</v>
      </c>
      <c r="J88" s="10">
        <v>148.58000000000001</v>
      </c>
      <c r="K88" s="10">
        <f t="shared" si="2"/>
        <v>1931.5400000000002</v>
      </c>
      <c r="L88" s="10" t="s">
        <v>92</v>
      </c>
      <c r="M88" s="10" t="str">
        <f t="shared" si="3"/>
        <v>CASH</v>
      </c>
      <c r="N88" s="10" t="s">
        <v>93</v>
      </c>
      <c r="O88" s="10" t="str">
        <f t="shared" si="4"/>
        <v>Cash</v>
      </c>
      <c r="P88" s="10" t="s">
        <v>19</v>
      </c>
      <c r="Q88" s="10" t="str">
        <f t="shared" si="5"/>
        <v>Double Entry</v>
      </c>
    </row>
    <row r="89" spans="1:17" ht="14.25" customHeight="1">
      <c r="A89" s="8">
        <v>45450</v>
      </c>
      <c r="B89" s="9" t="str">
        <f t="shared" si="0"/>
        <v>North</v>
      </c>
      <c r="C89" s="9" t="s">
        <v>12</v>
      </c>
      <c r="D89" s="10" t="s">
        <v>87</v>
      </c>
      <c r="E89" s="10" t="str">
        <f t="shared" si="1"/>
        <v>Ethan</v>
      </c>
      <c r="F89" s="10" t="s">
        <v>36</v>
      </c>
      <c r="G89" s="10" t="s">
        <v>24</v>
      </c>
      <c r="H89" s="10" t="s">
        <v>16</v>
      </c>
      <c r="I89" s="10">
        <v>17</v>
      </c>
      <c r="J89" s="10">
        <v>20.99</v>
      </c>
      <c r="K89" s="10">
        <f t="shared" si="2"/>
        <v>356.83</v>
      </c>
      <c r="L89" s="10" t="s">
        <v>219</v>
      </c>
      <c r="M89" s="10" t="str">
        <f t="shared" si="3"/>
        <v>MOBILE MONEY</v>
      </c>
      <c r="N89" s="10" t="s">
        <v>32</v>
      </c>
      <c r="O89" s="10" t="str">
        <f t="shared" si="4"/>
        <v>Mobile Money</v>
      </c>
      <c r="P89" s="9" t="s">
        <v>523</v>
      </c>
      <c r="Q89" s="9" t="str">
        <f t="shared" si="5"/>
        <v>No Comments</v>
      </c>
    </row>
    <row r="90" spans="1:17" ht="14.25" customHeight="1">
      <c r="A90" s="8">
        <v>45552</v>
      </c>
      <c r="B90" s="9" t="str">
        <f t="shared" si="0"/>
        <v>Unknow</v>
      </c>
      <c r="C90" s="9" t="s">
        <v>522</v>
      </c>
      <c r="D90" s="10" t="s">
        <v>87</v>
      </c>
      <c r="E90" s="10" t="str">
        <f t="shared" si="1"/>
        <v>Ethan</v>
      </c>
      <c r="F90" s="10" t="s">
        <v>36</v>
      </c>
      <c r="G90" s="9" t="s">
        <v>37</v>
      </c>
      <c r="H90" s="10" t="s">
        <v>67</v>
      </c>
      <c r="I90" s="10">
        <v>7</v>
      </c>
      <c r="J90" s="10">
        <v>73.14</v>
      </c>
      <c r="K90" s="10">
        <f t="shared" si="2"/>
        <v>511.98</v>
      </c>
      <c r="L90" s="10" t="s">
        <v>220</v>
      </c>
      <c r="M90" s="9" t="str">
        <f t="shared" si="3"/>
        <v>UNKONWN</v>
      </c>
      <c r="N90" s="9" t="s">
        <v>521</v>
      </c>
      <c r="O90" s="9" t="str">
        <f t="shared" si="4"/>
        <v>Unkonwn</v>
      </c>
      <c r="P90" s="10" t="s">
        <v>19</v>
      </c>
      <c r="Q90" s="10" t="str">
        <f t="shared" si="5"/>
        <v>Double Entry</v>
      </c>
    </row>
    <row r="91" spans="1:17" ht="14.25" customHeight="1">
      <c r="A91" s="8">
        <v>45375</v>
      </c>
      <c r="B91" s="10" t="str">
        <f t="shared" si="0"/>
        <v>SOUTH</v>
      </c>
      <c r="C91" s="10" t="s">
        <v>46</v>
      </c>
      <c r="D91" s="10" t="s">
        <v>62</v>
      </c>
      <c r="E91" s="10" t="str">
        <f t="shared" si="1"/>
        <v>Hannah</v>
      </c>
      <c r="F91" s="10" t="s">
        <v>23</v>
      </c>
      <c r="G91" s="10" t="s">
        <v>24</v>
      </c>
      <c r="H91" s="10" t="s">
        <v>16</v>
      </c>
      <c r="I91" s="10">
        <v>18</v>
      </c>
      <c r="J91" s="10">
        <v>129.41</v>
      </c>
      <c r="K91" s="10">
        <f t="shared" si="2"/>
        <v>2329.38</v>
      </c>
      <c r="L91" s="10" t="s">
        <v>222</v>
      </c>
      <c r="M91" s="10" t="str">
        <f t="shared" si="3"/>
        <v>MOBILE MONEY</v>
      </c>
      <c r="N91" s="10" t="s">
        <v>32</v>
      </c>
      <c r="O91" s="10" t="str">
        <f t="shared" si="4"/>
        <v>Mobile Money</v>
      </c>
      <c r="P91" s="10" t="s">
        <v>33</v>
      </c>
      <c r="Q91" s="10" t="str">
        <f t="shared" si="5"/>
        <v>Priority</v>
      </c>
    </row>
    <row r="92" spans="1:17" ht="14.25" customHeight="1">
      <c r="A92" s="8">
        <v>45457</v>
      </c>
      <c r="B92" s="9" t="str">
        <f t="shared" si="0"/>
        <v>North</v>
      </c>
      <c r="C92" s="9" t="s">
        <v>12</v>
      </c>
      <c r="D92" s="10" t="s">
        <v>77</v>
      </c>
      <c r="E92" s="10" t="str">
        <f t="shared" si="1"/>
        <v>Diana</v>
      </c>
      <c r="F92" s="10" t="s">
        <v>47</v>
      </c>
      <c r="G92" s="9" t="s">
        <v>37</v>
      </c>
      <c r="H92" s="10" t="s">
        <v>112</v>
      </c>
      <c r="I92" s="10">
        <v>1</v>
      </c>
      <c r="J92" s="10">
        <v>364.38</v>
      </c>
      <c r="K92" s="10">
        <f t="shared" si="2"/>
        <v>364.38</v>
      </c>
      <c r="L92" s="10" t="s">
        <v>224</v>
      </c>
      <c r="M92" s="10" t="str">
        <f t="shared" si="3"/>
        <v>CASH</v>
      </c>
      <c r="N92" s="10" t="s">
        <v>93</v>
      </c>
      <c r="O92" s="10" t="str">
        <f t="shared" si="4"/>
        <v>Cash</v>
      </c>
      <c r="P92" s="10" t="s">
        <v>19</v>
      </c>
      <c r="Q92" s="10" t="str">
        <f t="shared" si="5"/>
        <v>Double Entry</v>
      </c>
    </row>
    <row r="93" spans="1:17" ht="14.25" customHeight="1">
      <c r="A93" s="8">
        <v>45383</v>
      </c>
      <c r="B93" s="9" t="str">
        <f t="shared" si="0"/>
        <v>North</v>
      </c>
      <c r="C93" s="9" t="s">
        <v>12</v>
      </c>
      <c r="D93" s="10" t="s">
        <v>22</v>
      </c>
      <c r="E93" s="10" t="str">
        <f t="shared" si="1"/>
        <v>Bob</v>
      </c>
      <c r="F93" s="10" t="s">
        <v>50</v>
      </c>
      <c r="G93" s="10" t="s">
        <v>24</v>
      </c>
      <c r="H93" s="10" t="s">
        <v>101</v>
      </c>
      <c r="I93" s="10">
        <v>16</v>
      </c>
      <c r="J93" s="10">
        <v>402.72</v>
      </c>
      <c r="K93" s="10">
        <f t="shared" si="2"/>
        <v>6443.52</v>
      </c>
      <c r="L93" s="10" t="s">
        <v>226</v>
      </c>
      <c r="M93" s="10" t="str">
        <f t="shared" si="3"/>
        <v>BANK TRANSFER</v>
      </c>
      <c r="N93" s="10" t="s">
        <v>18</v>
      </c>
      <c r="O93" s="10" t="str">
        <f t="shared" si="4"/>
        <v>Bank Transfer</v>
      </c>
      <c r="P93" s="10" t="s">
        <v>52</v>
      </c>
      <c r="Q93" s="10" t="str">
        <f t="shared" si="5"/>
        <v>Follow Up</v>
      </c>
    </row>
    <row r="94" spans="1:17" ht="14.25" customHeight="1">
      <c r="A94" s="8">
        <v>45407</v>
      </c>
      <c r="B94" s="9" t="str">
        <f t="shared" si="0"/>
        <v>North</v>
      </c>
      <c r="C94" s="9" t="s">
        <v>12</v>
      </c>
      <c r="D94" s="10" t="s">
        <v>77</v>
      </c>
      <c r="E94" s="10" t="str">
        <f t="shared" si="1"/>
        <v>Diana</v>
      </c>
      <c r="F94" s="10" t="s">
        <v>50</v>
      </c>
      <c r="G94" s="10" t="s">
        <v>70</v>
      </c>
      <c r="H94" s="10" t="s">
        <v>67</v>
      </c>
      <c r="I94" s="10">
        <v>13</v>
      </c>
      <c r="J94" s="10">
        <v>143.08000000000001</v>
      </c>
      <c r="K94" s="10">
        <f t="shared" si="2"/>
        <v>1860.0400000000002</v>
      </c>
      <c r="L94" s="10" t="s">
        <v>228</v>
      </c>
      <c r="M94" s="10" t="str">
        <f t="shared" si="3"/>
        <v>CASH</v>
      </c>
      <c r="N94" s="10" t="s">
        <v>93</v>
      </c>
      <c r="O94" s="10" t="str">
        <f t="shared" si="4"/>
        <v>Cash</v>
      </c>
      <c r="P94" s="10" t="s">
        <v>19</v>
      </c>
      <c r="Q94" s="10" t="str">
        <f t="shared" si="5"/>
        <v>Double Entry</v>
      </c>
    </row>
    <row r="95" spans="1:17" ht="14.25" customHeight="1">
      <c r="A95" s="8">
        <v>45357</v>
      </c>
      <c r="B95" s="10" t="str">
        <f t="shared" si="0"/>
        <v>South</v>
      </c>
      <c r="C95" s="10" t="s">
        <v>21</v>
      </c>
      <c r="D95" s="10" t="s">
        <v>87</v>
      </c>
      <c r="E95" s="10" t="str">
        <f t="shared" si="1"/>
        <v>Ethan</v>
      </c>
      <c r="F95" s="10" t="s">
        <v>50</v>
      </c>
      <c r="G95" s="9" t="s">
        <v>15</v>
      </c>
      <c r="H95" s="10" t="s">
        <v>30</v>
      </c>
      <c r="I95" s="10">
        <v>17</v>
      </c>
      <c r="J95" s="10">
        <v>273.94</v>
      </c>
      <c r="K95" s="10">
        <f t="shared" si="2"/>
        <v>4656.9799999999996</v>
      </c>
      <c r="L95" s="10" t="s">
        <v>230</v>
      </c>
      <c r="M95" s="10" t="str">
        <f t="shared" si="3"/>
        <v>BANK TRANSFER</v>
      </c>
      <c r="N95" s="10" t="s">
        <v>18</v>
      </c>
      <c r="O95" s="10" t="str">
        <f t="shared" si="4"/>
        <v>Bank Transfer</v>
      </c>
      <c r="P95" s="10" t="s">
        <v>83</v>
      </c>
      <c r="Q95" s="10" t="str">
        <f t="shared" si="5"/>
        <v>Check Stock</v>
      </c>
    </row>
    <row r="96" spans="1:17" ht="14.25" customHeight="1">
      <c r="A96" s="8">
        <v>45576</v>
      </c>
      <c r="B96" s="9" t="str">
        <f t="shared" si="0"/>
        <v>North</v>
      </c>
      <c r="C96" s="9" t="s">
        <v>12</v>
      </c>
      <c r="D96" s="10" t="s">
        <v>77</v>
      </c>
      <c r="E96" s="10" t="str">
        <f t="shared" si="1"/>
        <v>Diana</v>
      </c>
      <c r="F96" s="10" t="s">
        <v>50</v>
      </c>
      <c r="G96" s="10" t="s">
        <v>70</v>
      </c>
      <c r="H96" s="10" t="s">
        <v>101</v>
      </c>
      <c r="I96" s="10">
        <v>11</v>
      </c>
      <c r="J96" s="10">
        <v>263.51</v>
      </c>
      <c r="K96" s="10">
        <f t="shared" si="2"/>
        <v>2898.6099999999997</v>
      </c>
      <c r="L96" s="10" t="s">
        <v>232</v>
      </c>
      <c r="M96" s="10" t="str">
        <f t="shared" si="3"/>
        <v>CASH</v>
      </c>
      <c r="N96" s="10" t="s">
        <v>65</v>
      </c>
      <c r="O96" s="10" t="str">
        <f t="shared" si="4"/>
        <v>Cash</v>
      </c>
      <c r="P96" s="10" t="s">
        <v>40</v>
      </c>
      <c r="Q96" s="10" t="str">
        <f t="shared" si="5"/>
        <v>Urgent</v>
      </c>
    </row>
    <row r="97" spans="1:17" ht="14.25" customHeight="1">
      <c r="A97" s="8">
        <v>45536</v>
      </c>
      <c r="B97" s="10" t="str">
        <f t="shared" si="0"/>
        <v>SOUTH</v>
      </c>
      <c r="C97" s="10" t="s">
        <v>46</v>
      </c>
      <c r="D97" s="10" t="s">
        <v>87</v>
      </c>
      <c r="E97" s="10" t="str">
        <f t="shared" si="1"/>
        <v>Ethan</v>
      </c>
      <c r="F97" s="10" t="s">
        <v>47</v>
      </c>
      <c r="G97" s="9" t="s">
        <v>43</v>
      </c>
      <c r="H97" s="10" t="s">
        <v>16</v>
      </c>
      <c r="I97" s="10">
        <v>4</v>
      </c>
      <c r="J97" s="10">
        <v>467.36</v>
      </c>
      <c r="K97" s="10">
        <f t="shared" si="2"/>
        <v>1869.44</v>
      </c>
      <c r="L97" s="10" t="s">
        <v>173</v>
      </c>
      <c r="M97" s="10" t="str">
        <f t="shared" si="3"/>
        <v>BANK TRANSFER</v>
      </c>
      <c r="N97" s="10" t="s">
        <v>18</v>
      </c>
      <c r="O97" s="10" t="str">
        <f t="shared" si="4"/>
        <v>Bank Transfer</v>
      </c>
      <c r="P97" s="10" t="s">
        <v>19</v>
      </c>
      <c r="Q97" s="10" t="str">
        <f t="shared" si="5"/>
        <v>Double Entry</v>
      </c>
    </row>
    <row r="98" spans="1:17" ht="14.25" customHeight="1">
      <c r="A98" s="8">
        <v>45408</v>
      </c>
      <c r="B98" s="10" t="str">
        <f t="shared" si="0"/>
        <v>East</v>
      </c>
      <c r="C98" s="10" t="s">
        <v>146</v>
      </c>
      <c r="D98" s="10" t="s">
        <v>28</v>
      </c>
      <c r="E98" s="10" t="str">
        <f t="shared" si="1"/>
        <v>George</v>
      </c>
      <c r="F98" s="10" t="s">
        <v>36</v>
      </c>
      <c r="G98" s="9" t="s">
        <v>37</v>
      </c>
      <c r="H98" s="10" t="s">
        <v>106</v>
      </c>
      <c r="I98" s="10">
        <v>10</v>
      </c>
      <c r="J98" s="10">
        <v>346.25</v>
      </c>
      <c r="K98" s="10">
        <f t="shared" si="2"/>
        <v>3462.5</v>
      </c>
      <c r="L98" s="10" t="s">
        <v>235</v>
      </c>
      <c r="M98" s="10" t="str">
        <f t="shared" si="3"/>
        <v>CASH</v>
      </c>
      <c r="N98" s="10" t="s">
        <v>65</v>
      </c>
      <c r="O98" s="10" t="str">
        <f t="shared" si="4"/>
        <v>Cash</v>
      </c>
      <c r="P98" s="10" t="s">
        <v>19</v>
      </c>
      <c r="Q98" s="10" t="str">
        <f t="shared" si="5"/>
        <v>Double Entry</v>
      </c>
    </row>
    <row r="99" spans="1:17" ht="14.25" customHeight="1">
      <c r="A99" s="8">
        <v>45361</v>
      </c>
      <c r="B99" s="10" t="str">
        <f t="shared" si="0"/>
        <v>South</v>
      </c>
      <c r="C99" s="10" t="s">
        <v>21</v>
      </c>
      <c r="D99" s="10" t="s">
        <v>22</v>
      </c>
      <c r="E99" s="10" t="str">
        <f t="shared" si="1"/>
        <v>Bob</v>
      </c>
      <c r="F99" s="10" t="s">
        <v>23</v>
      </c>
      <c r="G99" s="9" t="s">
        <v>521</v>
      </c>
      <c r="H99" s="10" t="s">
        <v>16</v>
      </c>
      <c r="I99" s="10">
        <v>16</v>
      </c>
      <c r="J99" s="10">
        <v>85.49</v>
      </c>
      <c r="K99" s="10">
        <f t="shared" si="2"/>
        <v>1367.84</v>
      </c>
      <c r="L99" s="10" t="s">
        <v>237</v>
      </c>
      <c r="M99" s="9" t="str">
        <f t="shared" si="3"/>
        <v>UNKONWN</v>
      </c>
      <c r="N99" s="9" t="s">
        <v>521</v>
      </c>
      <c r="O99" s="9" t="str">
        <f t="shared" si="4"/>
        <v>Unkonwn</v>
      </c>
      <c r="P99" s="10" t="s">
        <v>83</v>
      </c>
      <c r="Q99" s="10" t="str">
        <f t="shared" si="5"/>
        <v>Check Stock</v>
      </c>
    </row>
    <row r="100" spans="1:17" ht="14.25" customHeight="1">
      <c r="A100" s="8">
        <v>45535</v>
      </c>
      <c r="B100" s="9" t="str">
        <f t="shared" si="0"/>
        <v>North</v>
      </c>
      <c r="C100" s="9" t="s">
        <v>12</v>
      </c>
      <c r="D100" s="10" t="s">
        <v>22</v>
      </c>
      <c r="E100" s="10" t="str">
        <f t="shared" si="1"/>
        <v>Bob</v>
      </c>
      <c r="F100" s="10" t="s">
        <v>36</v>
      </c>
      <c r="G100" s="10" t="s">
        <v>70</v>
      </c>
      <c r="H100" s="10" t="s">
        <v>67</v>
      </c>
      <c r="I100" s="10">
        <v>11</v>
      </c>
      <c r="J100" s="10">
        <v>142.41</v>
      </c>
      <c r="K100" s="10">
        <f t="shared" si="2"/>
        <v>1566.51</v>
      </c>
      <c r="L100" s="10" t="s">
        <v>239</v>
      </c>
      <c r="M100" s="10" t="str">
        <f t="shared" si="3"/>
        <v xml:space="preserve">MOBILE MONEY </v>
      </c>
      <c r="N100" s="10" t="s">
        <v>57</v>
      </c>
      <c r="O100" s="10" t="str">
        <f t="shared" si="4"/>
        <v xml:space="preserve">Mobile Money </v>
      </c>
      <c r="P100" s="10" t="s">
        <v>52</v>
      </c>
      <c r="Q100" s="10" t="str">
        <f t="shared" si="5"/>
        <v>Follow Up</v>
      </c>
    </row>
    <row r="101" spans="1:17" ht="14.25" customHeight="1">
      <c r="A101" s="8">
        <v>45532</v>
      </c>
      <c r="B101" s="9" t="str">
        <f t="shared" si="0"/>
        <v>North</v>
      </c>
      <c r="C101" s="9" t="s">
        <v>12</v>
      </c>
      <c r="D101" s="10" t="s">
        <v>62</v>
      </c>
      <c r="E101" s="10" t="str">
        <f t="shared" si="1"/>
        <v>Hannah</v>
      </c>
      <c r="F101" s="10" t="s">
        <v>23</v>
      </c>
      <c r="G101" s="9" t="s">
        <v>15</v>
      </c>
      <c r="H101" s="10" t="s">
        <v>88</v>
      </c>
      <c r="I101" s="10">
        <v>13</v>
      </c>
      <c r="J101" s="10">
        <v>359.29</v>
      </c>
      <c r="K101" s="10">
        <f t="shared" si="2"/>
        <v>4670.7700000000004</v>
      </c>
      <c r="L101" s="10" t="s">
        <v>241</v>
      </c>
      <c r="M101" s="10" t="str">
        <f t="shared" si="3"/>
        <v xml:space="preserve">MOBILE MONEY </v>
      </c>
      <c r="N101" s="10" t="s">
        <v>57</v>
      </c>
      <c r="O101" s="10" t="str">
        <f t="shared" si="4"/>
        <v xml:space="preserve">Mobile Money </v>
      </c>
      <c r="P101" s="9" t="s">
        <v>523</v>
      </c>
      <c r="Q101" s="9" t="str">
        <f t="shared" si="5"/>
        <v>No Comments</v>
      </c>
    </row>
    <row r="102" spans="1:17" ht="14.25" customHeight="1">
      <c r="A102" s="8">
        <v>45470</v>
      </c>
      <c r="B102" s="10" t="str">
        <f t="shared" si="0"/>
        <v>SOUTH</v>
      </c>
      <c r="C102" s="10" t="s">
        <v>46</v>
      </c>
      <c r="D102" s="10" t="s">
        <v>59</v>
      </c>
      <c r="E102" s="10" t="str">
        <f t="shared" si="1"/>
        <v>Charlie</v>
      </c>
      <c r="F102" s="10" t="s">
        <v>29</v>
      </c>
      <c r="G102" s="10" t="s">
        <v>24</v>
      </c>
      <c r="H102" s="10" t="s">
        <v>55</v>
      </c>
      <c r="I102" s="10">
        <v>16</v>
      </c>
      <c r="J102" s="10">
        <v>34.79</v>
      </c>
      <c r="K102" s="10">
        <f t="shared" si="2"/>
        <v>556.64</v>
      </c>
      <c r="L102" s="10" t="s">
        <v>151</v>
      </c>
      <c r="M102" s="10" t="str">
        <f t="shared" si="3"/>
        <v>CASH</v>
      </c>
      <c r="N102" s="10" t="s">
        <v>93</v>
      </c>
      <c r="O102" s="10" t="str">
        <f t="shared" si="4"/>
        <v>Cash</v>
      </c>
      <c r="P102" s="10" t="s">
        <v>83</v>
      </c>
      <c r="Q102" s="10" t="str">
        <f t="shared" si="5"/>
        <v>Check Stock</v>
      </c>
    </row>
    <row r="103" spans="1:17" ht="14.25" customHeight="1">
      <c r="A103" s="8">
        <v>45514</v>
      </c>
      <c r="B103" s="9" t="str">
        <f t="shared" si="0"/>
        <v>Unknow</v>
      </c>
      <c r="C103" s="9" t="s">
        <v>522</v>
      </c>
      <c r="D103" s="10" t="s">
        <v>62</v>
      </c>
      <c r="E103" s="10" t="str">
        <f t="shared" si="1"/>
        <v>Hannah</v>
      </c>
      <c r="F103" s="10" t="s">
        <v>29</v>
      </c>
      <c r="G103" s="10" t="s">
        <v>24</v>
      </c>
      <c r="H103" s="10" t="s">
        <v>213</v>
      </c>
      <c r="I103" s="10">
        <v>7</v>
      </c>
      <c r="J103" s="10">
        <v>292.60000000000002</v>
      </c>
      <c r="K103" s="10">
        <f t="shared" si="2"/>
        <v>2048.2000000000003</v>
      </c>
      <c r="L103" s="10" t="s">
        <v>243</v>
      </c>
      <c r="M103" s="10" t="str">
        <f t="shared" si="3"/>
        <v>CASH</v>
      </c>
      <c r="N103" s="10" t="s">
        <v>65</v>
      </c>
      <c r="O103" s="10" t="str">
        <f t="shared" si="4"/>
        <v>Cash</v>
      </c>
      <c r="P103" s="10" t="s">
        <v>83</v>
      </c>
      <c r="Q103" s="10" t="str">
        <f t="shared" si="5"/>
        <v>Check Stock</v>
      </c>
    </row>
    <row r="104" spans="1:17" ht="14.25" customHeight="1">
      <c r="A104" s="8">
        <v>45297</v>
      </c>
      <c r="B104" s="9" t="str">
        <f t="shared" si="0"/>
        <v>North</v>
      </c>
      <c r="C104" s="9" t="s">
        <v>12</v>
      </c>
      <c r="D104" s="10" t="s">
        <v>28</v>
      </c>
      <c r="E104" s="10" t="str">
        <f t="shared" si="1"/>
        <v>George</v>
      </c>
      <c r="F104" s="10" t="s">
        <v>47</v>
      </c>
      <c r="G104" s="9" t="s">
        <v>521</v>
      </c>
      <c r="H104" s="10" t="s">
        <v>25</v>
      </c>
      <c r="I104" s="10">
        <v>5</v>
      </c>
      <c r="J104" s="10">
        <v>61.64</v>
      </c>
      <c r="K104" s="10">
        <f t="shared" si="2"/>
        <v>308.2</v>
      </c>
      <c r="L104" s="10" t="s">
        <v>245</v>
      </c>
      <c r="M104" s="10" t="str">
        <f t="shared" si="3"/>
        <v>CASH</v>
      </c>
      <c r="N104" s="10" t="s">
        <v>93</v>
      </c>
      <c r="O104" s="10" t="str">
        <f t="shared" si="4"/>
        <v>Cash</v>
      </c>
      <c r="P104" s="10" t="s">
        <v>83</v>
      </c>
      <c r="Q104" s="10" t="str">
        <f t="shared" si="5"/>
        <v>Check Stock</v>
      </c>
    </row>
    <row r="105" spans="1:17" ht="14.25" customHeight="1">
      <c r="A105" s="8">
        <v>45308</v>
      </c>
      <c r="B105" s="9" t="str">
        <f t="shared" si="0"/>
        <v>North</v>
      </c>
      <c r="C105" s="9" t="s">
        <v>12</v>
      </c>
      <c r="D105" s="10" t="s">
        <v>59</v>
      </c>
      <c r="E105" s="10" t="str">
        <f t="shared" si="1"/>
        <v>Charlie</v>
      </c>
      <c r="F105" s="10" t="s">
        <v>36</v>
      </c>
      <c r="G105" s="9" t="s">
        <v>43</v>
      </c>
      <c r="H105" s="10" t="s">
        <v>127</v>
      </c>
      <c r="I105" s="10">
        <v>8</v>
      </c>
      <c r="J105" s="10">
        <v>174.51</v>
      </c>
      <c r="K105" s="10">
        <f t="shared" si="2"/>
        <v>1396.08</v>
      </c>
      <c r="L105" s="10" t="s">
        <v>247</v>
      </c>
      <c r="M105" s="10" t="str">
        <f t="shared" si="3"/>
        <v>BANK TRANSFER</v>
      </c>
      <c r="N105" s="10" t="s">
        <v>18</v>
      </c>
      <c r="O105" s="10" t="str">
        <f t="shared" si="4"/>
        <v>Bank Transfer</v>
      </c>
      <c r="P105" s="10" t="s">
        <v>40</v>
      </c>
      <c r="Q105" s="10" t="str">
        <f t="shared" si="5"/>
        <v>Urgent</v>
      </c>
    </row>
    <row r="106" spans="1:17" ht="14.25" customHeight="1">
      <c r="A106" s="8">
        <v>45478</v>
      </c>
      <c r="B106" s="10" t="str">
        <f t="shared" si="0"/>
        <v>South</v>
      </c>
      <c r="C106" s="10" t="s">
        <v>21</v>
      </c>
      <c r="D106" s="10" t="s">
        <v>42</v>
      </c>
      <c r="E106" s="10" t="str">
        <f t="shared" si="1"/>
        <v>Alice</v>
      </c>
      <c r="F106" s="10" t="s">
        <v>36</v>
      </c>
      <c r="G106" s="9" t="s">
        <v>43</v>
      </c>
      <c r="H106" s="10" t="s">
        <v>67</v>
      </c>
      <c r="I106" s="10">
        <v>3</v>
      </c>
      <c r="J106" s="10">
        <v>412.65</v>
      </c>
      <c r="K106" s="10">
        <f t="shared" si="2"/>
        <v>1237.9499999999998</v>
      </c>
      <c r="L106" s="10" t="s">
        <v>248</v>
      </c>
      <c r="M106" s="10" t="str">
        <f t="shared" si="3"/>
        <v>CREDIT CARD</v>
      </c>
      <c r="N106" s="10" t="s">
        <v>75</v>
      </c>
      <c r="O106" s="10" t="str">
        <f t="shared" si="4"/>
        <v>Credit Card</v>
      </c>
      <c r="P106" s="10" t="s">
        <v>33</v>
      </c>
      <c r="Q106" s="10" t="str">
        <f t="shared" si="5"/>
        <v>Priority</v>
      </c>
    </row>
    <row r="107" spans="1:17" ht="14.25" customHeight="1">
      <c r="A107" s="8">
        <v>45338</v>
      </c>
      <c r="B107" s="9" t="str">
        <f t="shared" si="0"/>
        <v>Unknow</v>
      </c>
      <c r="C107" s="9" t="s">
        <v>522</v>
      </c>
      <c r="D107" s="10" t="s">
        <v>42</v>
      </c>
      <c r="E107" s="10" t="str">
        <f t="shared" si="1"/>
        <v>Alice</v>
      </c>
      <c r="F107" s="10" t="s">
        <v>23</v>
      </c>
      <c r="G107" s="9" t="s">
        <v>43</v>
      </c>
      <c r="H107" s="10" t="s">
        <v>101</v>
      </c>
      <c r="I107" s="10">
        <v>12</v>
      </c>
      <c r="J107" s="10">
        <v>354.94</v>
      </c>
      <c r="K107" s="10">
        <f t="shared" si="2"/>
        <v>4259.28</v>
      </c>
      <c r="L107" s="10" t="s">
        <v>175</v>
      </c>
      <c r="M107" s="10" t="str">
        <f t="shared" si="3"/>
        <v>CREDIT CARD</v>
      </c>
      <c r="N107" s="10" t="s">
        <v>75</v>
      </c>
      <c r="O107" s="10" t="str">
        <f t="shared" si="4"/>
        <v>Credit Card</v>
      </c>
      <c r="P107" s="10" t="s">
        <v>40</v>
      </c>
      <c r="Q107" s="10" t="str">
        <f t="shared" si="5"/>
        <v>Urgent</v>
      </c>
    </row>
    <row r="108" spans="1:17" ht="14.25" customHeight="1">
      <c r="A108" s="8">
        <v>45329</v>
      </c>
      <c r="B108" s="10" t="str">
        <f t="shared" si="0"/>
        <v>East</v>
      </c>
      <c r="C108" s="10" t="s">
        <v>146</v>
      </c>
      <c r="D108" s="10" t="s">
        <v>87</v>
      </c>
      <c r="E108" s="10" t="str">
        <f t="shared" si="1"/>
        <v>Ethan</v>
      </c>
      <c r="F108" s="10" t="s">
        <v>14</v>
      </c>
      <c r="G108" s="10" t="s">
        <v>24</v>
      </c>
      <c r="H108" s="9" t="s">
        <v>91</v>
      </c>
      <c r="I108" s="10">
        <v>5</v>
      </c>
      <c r="J108" s="10">
        <v>377.07</v>
      </c>
      <c r="K108" s="10">
        <f t="shared" si="2"/>
        <v>1885.35</v>
      </c>
      <c r="L108" s="10" t="s">
        <v>251</v>
      </c>
      <c r="M108" s="10" t="str">
        <f t="shared" si="3"/>
        <v xml:space="preserve">MOBILE MONEY </v>
      </c>
      <c r="N108" s="10" t="s">
        <v>57</v>
      </c>
      <c r="O108" s="10" t="str">
        <f t="shared" si="4"/>
        <v xml:space="preserve">Mobile Money </v>
      </c>
      <c r="P108" s="10" t="s">
        <v>83</v>
      </c>
      <c r="Q108" s="10" t="str">
        <f t="shared" si="5"/>
        <v>Check Stock</v>
      </c>
    </row>
    <row r="109" spans="1:17" ht="14.25" customHeight="1">
      <c r="A109" s="8">
        <v>45585</v>
      </c>
      <c r="B109" s="9" t="str">
        <f t="shared" si="0"/>
        <v>North</v>
      </c>
      <c r="C109" s="9" t="s">
        <v>12</v>
      </c>
      <c r="D109" s="10" t="s">
        <v>87</v>
      </c>
      <c r="E109" s="10" t="str">
        <f t="shared" si="1"/>
        <v>Ethan</v>
      </c>
      <c r="F109" s="10" t="s">
        <v>50</v>
      </c>
      <c r="G109" s="9" t="s">
        <v>43</v>
      </c>
      <c r="H109" s="10" t="s">
        <v>88</v>
      </c>
      <c r="I109" s="10">
        <v>19</v>
      </c>
      <c r="J109" s="10">
        <v>296.83999999999997</v>
      </c>
      <c r="K109" s="10">
        <f t="shared" si="2"/>
        <v>5639.9599999999991</v>
      </c>
      <c r="L109" s="10" t="s">
        <v>197</v>
      </c>
      <c r="M109" s="10" t="str">
        <f t="shared" si="3"/>
        <v>BANK TRANSFER</v>
      </c>
      <c r="N109" s="10" t="s">
        <v>18</v>
      </c>
      <c r="O109" s="10" t="str">
        <f t="shared" si="4"/>
        <v>Bank Transfer</v>
      </c>
      <c r="P109" s="10" t="s">
        <v>19</v>
      </c>
      <c r="Q109" s="10" t="str">
        <f t="shared" si="5"/>
        <v>Double Entry</v>
      </c>
    </row>
    <row r="110" spans="1:17" ht="14.25" customHeight="1">
      <c r="A110" s="8">
        <v>45354</v>
      </c>
      <c r="B110" s="10" t="str">
        <f t="shared" si="0"/>
        <v>South</v>
      </c>
      <c r="C110" s="10" t="s">
        <v>21</v>
      </c>
      <c r="D110" s="10" t="s">
        <v>13</v>
      </c>
      <c r="E110" s="10" t="str">
        <f t="shared" si="1"/>
        <v>Faith</v>
      </c>
      <c r="F110" s="10" t="s">
        <v>29</v>
      </c>
      <c r="G110" s="9" t="s">
        <v>43</v>
      </c>
      <c r="H110" s="10" t="s">
        <v>38</v>
      </c>
      <c r="I110" s="10">
        <v>15</v>
      </c>
      <c r="J110" s="10">
        <v>227.65</v>
      </c>
      <c r="K110" s="10">
        <f t="shared" si="2"/>
        <v>3414.75</v>
      </c>
      <c r="L110" s="10" t="s">
        <v>222</v>
      </c>
      <c r="M110" s="10" t="str">
        <f t="shared" si="3"/>
        <v>CASH</v>
      </c>
      <c r="N110" s="10" t="s">
        <v>65</v>
      </c>
      <c r="O110" s="10" t="str">
        <f t="shared" si="4"/>
        <v>Cash</v>
      </c>
      <c r="P110" s="9" t="s">
        <v>523</v>
      </c>
      <c r="Q110" s="9" t="str">
        <f t="shared" si="5"/>
        <v>No Comments</v>
      </c>
    </row>
    <row r="111" spans="1:17" ht="14.25" customHeight="1">
      <c r="A111" s="8">
        <v>45529</v>
      </c>
      <c r="B111" s="10" t="str">
        <f t="shared" si="0"/>
        <v>East</v>
      </c>
      <c r="C111" s="10" t="s">
        <v>146</v>
      </c>
      <c r="D111" s="10" t="s">
        <v>28</v>
      </c>
      <c r="E111" s="10" t="str">
        <f t="shared" si="1"/>
        <v>George</v>
      </c>
      <c r="F111" s="10" t="s">
        <v>47</v>
      </c>
      <c r="G111" s="9" t="s">
        <v>43</v>
      </c>
      <c r="H111" s="10" t="s">
        <v>30</v>
      </c>
      <c r="I111" s="10">
        <v>8</v>
      </c>
      <c r="J111" s="10">
        <v>483.4</v>
      </c>
      <c r="K111" s="10">
        <f t="shared" si="2"/>
        <v>3867.2</v>
      </c>
      <c r="L111" s="10" t="s">
        <v>255</v>
      </c>
      <c r="M111" s="9" t="str">
        <f t="shared" si="3"/>
        <v>UNKONWN</v>
      </c>
      <c r="N111" s="9" t="s">
        <v>521</v>
      </c>
      <c r="O111" s="9" t="str">
        <f t="shared" si="4"/>
        <v>Unkonwn</v>
      </c>
      <c r="P111" s="9" t="s">
        <v>523</v>
      </c>
      <c r="Q111" s="9" t="str">
        <f t="shared" si="5"/>
        <v>No Comments</v>
      </c>
    </row>
    <row r="112" spans="1:17" ht="14.25" customHeight="1">
      <c r="A112" s="8">
        <v>45589</v>
      </c>
      <c r="B112" s="9" t="str">
        <f t="shared" si="0"/>
        <v>North</v>
      </c>
      <c r="C112" s="9" t="s">
        <v>12</v>
      </c>
      <c r="D112" s="10" t="s">
        <v>22</v>
      </c>
      <c r="E112" s="10" t="str">
        <f t="shared" si="1"/>
        <v>Bob</v>
      </c>
      <c r="F112" s="10" t="s">
        <v>14</v>
      </c>
      <c r="G112" s="10" t="s">
        <v>70</v>
      </c>
      <c r="H112" s="10" t="s">
        <v>106</v>
      </c>
      <c r="I112" s="10">
        <v>16</v>
      </c>
      <c r="J112" s="10">
        <v>134.41</v>
      </c>
      <c r="K112" s="10">
        <f t="shared" si="2"/>
        <v>2150.56</v>
      </c>
      <c r="L112" s="10" t="s">
        <v>97</v>
      </c>
      <c r="M112" s="10" t="str">
        <f t="shared" si="3"/>
        <v>BANK TRANSFER</v>
      </c>
      <c r="N112" s="10" t="s">
        <v>18</v>
      </c>
      <c r="O112" s="10" t="str">
        <f t="shared" si="4"/>
        <v>Bank Transfer</v>
      </c>
      <c r="P112" s="9" t="s">
        <v>523</v>
      </c>
      <c r="Q112" s="9" t="str">
        <f t="shared" si="5"/>
        <v>No Comments</v>
      </c>
    </row>
    <row r="113" spans="1:17" ht="14.25" customHeight="1">
      <c r="A113" s="8">
        <v>45564</v>
      </c>
      <c r="B113" s="9" t="str">
        <f t="shared" si="0"/>
        <v>North</v>
      </c>
      <c r="C113" s="9" t="s">
        <v>12</v>
      </c>
      <c r="D113" s="10" t="s">
        <v>28</v>
      </c>
      <c r="E113" s="10" t="str">
        <f t="shared" si="1"/>
        <v>George</v>
      </c>
      <c r="F113" s="10" t="s">
        <v>29</v>
      </c>
      <c r="G113" s="10" t="s">
        <v>70</v>
      </c>
      <c r="H113" s="10" t="s">
        <v>183</v>
      </c>
      <c r="I113" s="10">
        <v>11</v>
      </c>
      <c r="J113" s="10">
        <v>444.78</v>
      </c>
      <c r="K113" s="10">
        <f t="shared" si="2"/>
        <v>4892.58</v>
      </c>
      <c r="L113" s="10" t="s">
        <v>222</v>
      </c>
      <c r="M113" s="10" t="str">
        <f t="shared" si="3"/>
        <v>CREDIT CARD</v>
      </c>
      <c r="N113" s="10" t="s">
        <v>75</v>
      </c>
      <c r="O113" s="10" t="str">
        <f t="shared" si="4"/>
        <v>Credit Card</v>
      </c>
      <c r="P113" s="9" t="s">
        <v>523</v>
      </c>
      <c r="Q113" s="9" t="str">
        <f t="shared" si="5"/>
        <v>No Comments</v>
      </c>
    </row>
    <row r="114" spans="1:17" ht="14.25" customHeight="1">
      <c r="A114" s="8">
        <v>45382</v>
      </c>
      <c r="B114" s="9" t="str">
        <f t="shared" si="0"/>
        <v>Unknow</v>
      </c>
      <c r="C114" s="9" t="s">
        <v>522</v>
      </c>
      <c r="D114" s="10" t="s">
        <v>22</v>
      </c>
      <c r="E114" s="10" t="str">
        <f t="shared" si="1"/>
        <v>Bob</v>
      </c>
      <c r="F114" s="10" t="s">
        <v>47</v>
      </c>
      <c r="G114" s="9" t="s">
        <v>43</v>
      </c>
      <c r="H114" s="10" t="s">
        <v>67</v>
      </c>
      <c r="I114" s="10">
        <v>16</v>
      </c>
      <c r="J114" s="10">
        <v>330.8</v>
      </c>
      <c r="K114" s="10">
        <f t="shared" si="2"/>
        <v>5292.8</v>
      </c>
      <c r="L114" s="10" t="s">
        <v>92</v>
      </c>
      <c r="M114" s="10" t="str">
        <f t="shared" si="3"/>
        <v>CASH</v>
      </c>
      <c r="N114" s="10" t="s">
        <v>65</v>
      </c>
      <c r="O114" s="10" t="str">
        <f t="shared" si="4"/>
        <v>Cash</v>
      </c>
      <c r="P114" s="10" t="s">
        <v>33</v>
      </c>
      <c r="Q114" s="10" t="str">
        <f t="shared" si="5"/>
        <v>Priority</v>
      </c>
    </row>
    <row r="115" spans="1:17" ht="14.25" customHeight="1">
      <c r="A115" s="8">
        <v>45395</v>
      </c>
      <c r="B115" s="9" t="str">
        <f t="shared" si="0"/>
        <v>North</v>
      </c>
      <c r="C115" s="9" t="s">
        <v>12</v>
      </c>
      <c r="D115" s="10" t="s">
        <v>59</v>
      </c>
      <c r="E115" s="10" t="str">
        <f t="shared" si="1"/>
        <v>Charlie</v>
      </c>
      <c r="F115" s="10" t="s">
        <v>29</v>
      </c>
      <c r="G115" s="9" t="s">
        <v>15</v>
      </c>
      <c r="H115" s="10" t="s">
        <v>63</v>
      </c>
      <c r="I115" s="10">
        <v>11</v>
      </c>
      <c r="J115" s="10">
        <v>211.7</v>
      </c>
      <c r="K115" s="10">
        <f t="shared" si="2"/>
        <v>2328.6999999999998</v>
      </c>
      <c r="L115" s="10" t="s">
        <v>158</v>
      </c>
      <c r="M115" s="10" t="str">
        <f t="shared" si="3"/>
        <v>CASH</v>
      </c>
      <c r="N115" s="10" t="s">
        <v>65</v>
      </c>
      <c r="O115" s="10" t="str">
        <f t="shared" si="4"/>
        <v>Cash</v>
      </c>
      <c r="P115" s="10" t="s">
        <v>40</v>
      </c>
      <c r="Q115" s="10" t="str">
        <f t="shared" si="5"/>
        <v>Urgent</v>
      </c>
    </row>
    <row r="116" spans="1:17" ht="14.25" customHeight="1">
      <c r="A116" s="8">
        <v>45437</v>
      </c>
      <c r="B116" s="9" t="str">
        <f t="shared" si="0"/>
        <v>North</v>
      </c>
      <c r="C116" s="9" t="s">
        <v>12</v>
      </c>
      <c r="D116" s="10" t="s">
        <v>59</v>
      </c>
      <c r="E116" s="10" t="str">
        <f t="shared" si="1"/>
        <v>Charlie</v>
      </c>
      <c r="F116" s="10" t="s">
        <v>23</v>
      </c>
      <c r="G116" s="9" t="s">
        <v>15</v>
      </c>
      <c r="H116" s="10" t="s">
        <v>38</v>
      </c>
      <c r="I116" s="10">
        <v>2</v>
      </c>
      <c r="J116" s="10">
        <v>265.37</v>
      </c>
      <c r="K116" s="10">
        <f t="shared" si="2"/>
        <v>530.74</v>
      </c>
      <c r="L116" s="10" t="s">
        <v>261</v>
      </c>
      <c r="M116" s="10" t="str">
        <f t="shared" si="3"/>
        <v>BANK TRANSFER</v>
      </c>
      <c r="N116" s="10" t="s">
        <v>18</v>
      </c>
      <c r="O116" s="10" t="str">
        <f t="shared" si="4"/>
        <v>Bank Transfer</v>
      </c>
      <c r="P116" s="10" t="s">
        <v>52</v>
      </c>
      <c r="Q116" s="10" t="str">
        <f t="shared" si="5"/>
        <v>Follow Up</v>
      </c>
    </row>
    <row r="117" spans="1:17" ht="14.25" customHeight="1">
      <c r="A117" s="8">
        <v>45360</v>
      </c>
      <c r="B117" s="10" t="str">
        <f t="shared" si="0"/>
        <v>East</v>
      </c>
      <c r="C117" s="10" t="s">
        <v>35</v>
      </c>
      <c r="D117" s="10" t="s">
        <v>28</v>
      </c>
      <c r="E117" s="10" t="str">
        <f t="shared" si="1"/>
        <v>George</v>
      </c>
      <c r="F117" s="10" t="s">
        <v>50</v>
      </c>
      <c r="G117" s="9" t="s">
        <v>37</v>
      </c>
      <c r="H117" s="10" t="s">
        <v>71</v>
      </c>
      <c r="I117" s="10">
        <v>12</v>
      </c>
      <c r="J117" s="10">
        <v>110.85</v>
      </c>
      <c r="K117" s="10">
        <f t="shared" si="2"/>
        <v>1330.1999999999998</v>
      </c>
      <c r="L117" s="10" t="s">
        <v>72</v>
      </c>
      <c r="M117" s="10" t="str">
        <f t="shared" si="3"/>
        <v>CREDIT CARD</v>
      </c>
      <c r="N117" s="10" t="s">
        <v>75</v>
      </c>
      <c r="O117" s="10" t="str">
        <f t="shared" si="4"/>
        <v>Credit Card</v>
      </c>
      <c r="P117" s="10" t="s">
        <v>40</v>
      </c>
      <c r="Q117" s="10" t="str">
        <f t="shared" si="5"/>
        <v>Urgent</v>
      </c>
    </row>
    <row r="118" spans="1:17" ht="14.25" customHeight="1">
      <c r="A118" s="8">
        <v>45405</v>
      </c>
      <c r="B118" s="10" t="str">
        <f t="shared" si="0"/>
        <v>East</v>
      </c>
      <c r="C118" s="10" t="s">
        <v>35</v>
      </c>
      <c r="D118" s="10" t="s">
        <v>77</v>
      </c>
      <c r="E118" s="10" t="str">
        <f t="shared" si="1"/>
        <v>Diana</v>
      </c>
      <c r="F118" s="10" t="s">
        <v>29</v>
      </c>
      <c r="G118" s="9" t="s">
        <v>37</v>
      </c>
      <c r="H118" s="10" t="s">
        <v>117</v>
      </c>
      <c r="I118" s="10">
        <v>16</v>
      </c>
      <c r="J118" s="10">
        <v>475.32</v>
      </c>
      <c r="K118" s="10">
        <f t="shared" si="2"/>
        <v>7605.12</v>
      </c>
      <c r="L118" s="10" t="s">
        <v>130</v>
      </c>
      <c r="M118" s="10" t="str">
        <f t="shared" si="3"/>
        <v>CASH</v>
      </c>
      <c r="N118" s="10" t="s">
        <v>65</v>
      </c>
      <c r="O118" s="10" t="str">
        <f t="shared" si="4"/>
        <v>Cash</v>
      </c>
      <c r="P118" s="9" t="s">
        <v>523</v>
      </c>
      <c r="Q118" s="9" t="str">
        <f t="shared" si="5"/>
        <v>No Comments</v>
      </c>
    </row>
    <row r="119" spans="1:17" ht="14.25" customHeight="1">
      <c r="A119" s="8">
        <v>45540</v>
      </c>
      <c r="B119" s="10" t="str">
        <f t="shared" si="0"/>
        <v>South</v>
      </c>
      <c r="C119" s="10" t="s">
        <v>21</v>
      </c>
      <c r="D119" s="10" t="s">
        <v>62</v>
      </c>
      <c r="E119" s="10" t="str">
        <f t="shared" si="1"/>
        <v>Hannah</v>
      </c>
      <c r="F119" s="10" t="s">
        <v>36</v>
      </c>
      <c r="G119" s="10" t="s">
        <v>70</v>
      </c>
      <c r="H119" s="10" t="s">
        <v>25</v>
      </c>
      <c r="I119" s="10">
        <v>8</v>
      </c>
      <c r="J119" s="10">
        <v>295.39999999999998</v>
      </c>
      <c r="K119" s="10">
        <f t="shared" si="2"/>
        <v>2363.1999999999998</v>
      </c>
      <c r="L119" s="10" t="s">
        <v>230</v>
      </c>
      <c r="M119" s="10" t="str">
        <f t="shared" si="3"/>
        <v>CREDIT CARD</v>
      </c>
      <c r="N119" s="10" t="s">
        <v>75</v>
      </c>
      <c r="O119" s="10" t="str">
        <f t="shared" si="4"/>
        <v>Credit Card</v>
      </c>
      <c r="P119" s="9" t="s">
        <v>523</v>
      </c>
      <c r="Q119" s="9" t="str">
        <f t="shared" si="5"/>
        <v>No Comments</v>
      </c>
    </row>
    <row r="120" spans="1:17" ht="14.25" customHeight="1">
      <c r="A120" s="8">
        <v>45386</v>
      </c>
      <c r="B120" s="9" t="str">
        <f t="shared" si="0"/>
        <v>North</v>
      </c>
      <c r="C120" s="9" t="s">
        <v>12</v>
      </c>
      <c r="D120" s="10" t="s">
        <v>13</v>
      </c>
      <c r="E120" s="10" t="str">
        <f t="shared" si="1"/>
        <v>Faith</v>
      </c>
      <c r="F120" s="10" t="s">
        <v>47</v>
      </c>
      <c r="G120" s="9" t="s">
        <v>37</v>
      </c>
      <c r="H120" s="10" t="s">
        <v>213</v>
      </c>
      <c r="I120" s="10">
        <v>14</v>
      </c>
      <c r="J120" s="10">
        <v>170.93</v>
      </c>
      <c r="K120" s="10">
        <f t="shared" si="2"/>
        <v>2393.02</v>
      </c>
      <c r="L120" s="10" t="s">
        <v>197</v>
      </c>
      <c r="M120" s="10" t="str">
        <f t="shared" si="3"/>
        <v>CASH</v>
      </c>
      <c r="N120" s="10" t="s">
        <v>65</v>
      </c>
      <c r="O120" s="10" t="str">
        <f t="shared" si="4"/>
        <v>Cash</v>
      </c>
      <c r="P120" s="9" t="s">
        <v>523</v>
      </c>
      <c r="Q120" s="9" t="str">
        <f t="shared" si="5"/>
        <v>No Comments</v>
      </c>
    </row>
    <row r="121" spans="1:17" ht="14.25" customHeight="1">
      <c r="A121" s="8">
        <v>45345</v>
      </c>
      <c r="B121" s="10" t="str">
        <f t="shared" si="0"/>
        <v>East</v>
      </c>
      <c r="C121" s="10" t="s">
        <v>35</v>
      </c>
      <c r="D121" s="10" t="s">
        <v>77</v>
      </c>
      <c r="E121" s="10" t="str">
        <f t="shared" si="1"/>
        <v>Diana</v>
      </c>
      <c r="F121" s="10" t="s">
        <v>36</v>
      </c>
      <c r="G121" s="9" t="s">
        <v>43</v>
      </c>
      <c r="H121" s="10" t="s">
        <v>25</v>
      </c>
      <c r="I121" s="10">
        <v>9</v>
      </c>
      <c r="J121" s="10">
        <v>121.95</v>
      </c>
      <c r="K121" s="10">
        <f t="shared" si="2"/>
        <v>1097.55</v>
      </c>
      <c r="L121" s="10" t="s">
        <v>267</v>
      </c>
      <c r="M121" s="10" t="str">
        <f t="shared" si="3"/>
        <v xml:space="preserve">MOBILE MONEY </v>
      </c>
      <c r="N121" s="10" t="s">
        <v>57</v>
      </c>
      <c r="O121" s="10" t="str">
        <f t="shared" si="4"/>
        <v xml:space="preserve">Mobile Money </v>
      </c>
      <c r="P121" s="10" t="s">
        <v>19</v>
      </c>
      <c r="Q121" s="10" t="str">
        <f t="shared" si="5"/>
        <v>Double Entry</v>
      </c>
    </row>
    <row r="122" spans="1:17" ht="14.25" customHeight="1">
      <c r="A122" s="8">
        <v>45417</v>
      </c>
      <c r="B122" s="10" t="str">
        <f t="shared" si="0"/>
        <v>SOUTH</v>
      </c>
      <c r="C122" s="10" t="s">
        <v>46</v>
      </c>
      <c r="D122" s="10" t="s">
        <v>22</v>
      </c>
      <c r="E122" s="10" t="str">
        <f t="shared" si="1"/>
        <v>Bob</v>
      </c>
      <c r="F122" s="10" t="s">
        <v>50</v>
      </c>
      <c r="G122" s="9" t="s">
        <v>43</v>
      </c>
      <c r="H122" s="10" t="s">
        <v>25</v>
      </c>
      <c r="I122" s="10">
        <v>19</v>
      </c>
      <c r="J122" s="10">
        <v>407.81</v>
      </c>
      <c r="K122" s="10">
        <f t="shared" si="2"/>
        <v>7748.39</v>
      </c>
      <c r="L122" s="10" t="s">
        <v>268</v>
      </c>
      <c r="M122" s="9" t="str">
        <f t="shared" si="3"/>
        <v>UNKONWN</v>
      </c>
      <c r="N122" s="9" t="s">
        <v>521</v>
      </c>
      <c r="O122" s="9" t="str">
        <f t="shared" si="4"/>
        <v>Unkonwn</v>
      </c>
      <c r="P122" s="9" t="s">
        <v>523</v>
      </c>
      <c r="Q122" s="9" t="str">
        <f t="shared" si="5"/>
        <v>No Comments</v>
      </c>
    </row>
    <row r="123" spans="1:17" ht="14.25" customHeight="1">
      <c r="A123" s="8">
        <v>45392</v>
      </c>
      <c r="B123" s="9" t="str">
        <f t="shared" si="0"/>
        <v>North</v>
      </c>
      <c r="C123" s="9" t="s">
        <v>12</v>
      </c>
      <c r="D123" s="10" t="s">
        <v>28</v>
      </c>
      <c r="E123" s="10" t="str">
        <f t="shared" si="1"/>
        <v>George</v>
      </c>
      <c r="F123" s="10" t="s">
        <v>50</v>
      </c>
      <c r="G123" s="9" t="s">
        <v>521</v>
      </c>
      <c r="H123" s="10" t="s">
        <v>16</v>
      </c>
      <c r="I123" s="10">
        <v>10</v>
      </c>
      <c r="J123" s="10">
        <v>256.48</v>
      </c>
      <c r="K123" s="10">
        <f t="shared" si="2"/>
        <v>2564.8000000000002</v>
      </c>
      <c r="L123" s="10" t="s">
        <v>270</v>
      </c>
      <c r="M123" s="10" t="str">
        <f t="shared" si="3"/>
        <v>BANK TRANSFER</v>
      </c>
      <c r="N123" s="10" t="s">
        <v>18</v>
      </c>
      <c r="O123" s="10" t="str">
        <f t="shared" si="4"/>
        <v>Bank Transfer</v>
      </c>
      <c r="P123" s="9" t="s">
        <v>523</v>
      </c>
      <c r="Q123" s="9" t="str">
        <f t="shared" si="5"/>
        <v>No Comments</v>
      </c>
    </row>
    <row r="124" spans="1:17" ht="14.25" customHeight="1">
      <c r="A124" s="8">
        <v>45307</v>
      </c>
      <c r="B124" s="10" t="str">
        <f t="shared" si="0"/>
        <v>East</v>
      </c>
      <c r="C124" s="10" t="s">
        <v>146</v>
      </c>
      <c r="D124" s="10" t="s">
        <v>87</v>
      </c>
      <c r="E124" s="10" t="str">
        <f t="shared" si="1"/>
        <v>Ethan</v>
      </c>
      <c r="F124" s="10" t="s">
        <v>36</v>
      </c>
      <c r="G124" s="9" t="s">
        <v>37</v>
      </c>
      <c r="H124" s="10" t="s">
        <v>169</v>
      </c>
      <c r="I124" s="10">
        <v>7</v>
      </c>
      <c r="J124" s="10">
        <v>97.86</v>
      </c>
      <c r="K124" s="10">
        <f t="shared" si="2"/>
        <v>685.02</v>
      </c>
      <c r="L124" s="10" t="s">
        <v>251</v>
      </c>
      <c r="M124" s="10" t="str">
        <f t="shared" si="3"/>
        <v>CASH</v>
      </c>
      <c r="N124" s="10" t="s">
        <v>65</v>
      </c>
      <c r="O124" s="10" t="str">
        <f t="shared" si="4"/>
        <v>Cash</v>
      </c>
      <c r="P124" s="10" t="s">
        <v>83</v>
      </c>
      <c r="Q124" s="10" t="str">
        <f t="shared" si="5"/>
        <v>Check Stock</v>
      </c>
    </row>
    <row r="125" spans="1:17" ht="14.25" customHeight="1">
      <c r="A125" s="8">
        <v>45372</v>
      </c>
      <c r="B125" s="9" t="str">
        <f t="shared" si="0"/>
        <v>North</v>
      </c>
      <c r="C125" s="9" t="s">
        <v>12</v>
      </c>
      <c r="D125" s="10" t="s">
        <v>42</v>
      </c>
      <c r="E125" s="10" t="str">
        <f t="shared" si="1"/>
        <v>Alice</v>
      </c>
      <c r="F125" s="10" t="s">
        <v>23</v>
      </c>
      <c r="G125" s="10" t="s">
        <v>70</v>
      </c>
      <c r="H125" s="10" t="s">
        <v>273</v>
      </c>
      <c r="I125" s="10">
        <v>17</v>
      </c>
      <c r="J125" s="10">
        <v>131.51</v>
      </c>
      <c r="K125" s="10">
        <f t="shared" si="2"/>
        <v>2235.67</v>
      </c>
      <c r="L125" s="10" t="s">
        <v>274</v>
      </c>
      <c r="M125" s="10" t="str">
        <f t="shared" si="3"/>
        <v>CREDIT CARD</v>
      </c>
      <c r="N125" s="10" t="s">
        <v>75</v>
      </c>
      <c r="O125" s="10" t="str">
        <f t="shared" si="4"/>
        <v>Credit Card</v>
      </c>
      <c r="P125" s="9" t="s">
        <v>523</v>
      </c>
      <c r="Q125" s="9" t="str">
        <f t="shared" si="5"/>
        <v>No Comments</v>
      </c>
    </row>
    <row r="126" spans="1:17" ht="14.25" customHeight="1">
      <c r="A126" s="8">
        <v>45362</v>
      </c>
      <c r="B126" s="9" t="str">
        <f t="shared" si="0"/>
        <v>Unknow</v>
      </c>
      <c r="C126" s="9" t="s">
        <v>522</v>
      </c>
      <c r="D126" s="10" t="s">
        <v>42</v>
      </c>
      <c r="E126" s="10" t="str">
        <f t="shared" si="1"/>
        <v>Alice</v>
      </c>
      <c r="F126" s="10" t="s">
        <v>47</v>
      </c>
      <c r="G126" s="9" t="s">
        <v>37</v>
      </c>
      <c r="H126" s="10" t="s">
        <v>169</v>
      </c>
      <c r="I126" s="10">
        <v>5</v>
      </c>
      <c r="J126" s="10">
        <v>308.14</v>
      </c>
      <c r="K126" s="10">
        <f t="shared" si="2"/>
        <v>1540.6999999999998</v>
      </c>
      <c r="L126" s="10" t="s">
        <v>197</v>
      </c>
      <c r="M126" s="10" t="str">
        <f t="shared" si="3"/>
        <v>CASH</v>
      </c>
      <c r="N126" s="10" t="s">
        <v>93</v>
      </c>
      <c r="O126" s="10" t="str">
        <f t="shared" si="4"/>
        <v>Cash</v>
      </c>
      <c r="P126" s="10" t="s">
        <v>40</v>
      </c>
      <c r="Q126" s="10" t="str">
        <f t="shared" si="5"/>
        <v>Urgent</v>
      </c>
    </row>
    <row r="127" spans="1:17" ht="14.25" customHeight="1">
      <c r="A127" s="8">
        <v>45371</v>
      </c>
      <c r="B127" s="9" t="str">
        <f t="shared" si="0"/>
        <v>Unknow</v>
      </c>
      <c r="C127" s="9" t="s">
        <v>522</v>
      </c>
      <c r="D127" s="10" t="s">
        <v>77</v>
      </c>
      <c r="E127" s="10" t="str">
        <f t="shared" si="1"/>
        <v>Diana</v>
      </c>
      <c r="F127" s="10" t="s">
        <v>47</v>
      </c>
      <c r="G127" s="10" t="s">
        <v>70</v>
      </c>
      <c r="H127" s="10" t="s">
        <v>101</v>
      </c>
      <c r="I127" s="10">
        <v>19</v>
      </c>
      <c r="J127" s="10">
        <v>26.36</v>
      </c>
      <c r="K127" s="10">
        <f t="shared" si="2"/>
        <v>500.84</v>
      </c>
      <c r="L127" s="10" t="s">
        <v>277</v>
      </c>
      <c r="M127" s="10" t="str">
        <f t="shared" si="3"/>
        <v>CREDIT CARD</v>
      </c>
      <c r="N127" s="10" t="s">
        <v>75</v>
      </c>
      <c r="O127" s="10" t="str">
        <f t="shared" si="4"/>
        <v>Credit Card</v>
      </c>
      <c r="P127" s="9" t="s">
        <v>523</v>
      </c>
      <c r="Q127" s="9" t="str">
        <f t="shared" si="5"/>
        <v>No Comments</v>
      </c>
    </row>
    <row r="128" spans="1:17" ht="14.25" customHeight="1">
      <c r="A128" s="8">
        <v>45493</v>
      </c>
      <c r="B128" s="9" t="str">
        <f t="shared" si="0"/>
        <v>North</v>
      </c>
      <c r="C128" s="9" t="s">
        <v>12</v>
      </c>
      <c r="D128" s="10" t="s">
        <v>62</v>
      </c>
      <c r="E128" s="10" t="str">
        <f t="shared" si="1"/>
        <v>Hannah</v>
      </c>
      <c r="F128" s="10" t="s">
        <v>23</v>
      </c>
      <c r="G128" s="9" t="s">
        <v>43</v>
      </c>
      <c r="H128" s="10" t="s">
        <v>78</v>
      </c>
      <c r="I128" s="10">
        <v>3</v>
      </c>
      <c r="J128" s="10">
        <v>206.31</v>
      </c>
      <c r="K128" s="10">
        <f t="shared" si="2"/>
        <v>618.93000000000006</v>
      </c>
      <c r="L128" s="10" t="s">
        <v>219</v>
      </c>
      <c r="M128" s="9" t="str">
        <f t="shared" si="3"/>
        <v>UNKONWN</v>
      </c>
      <c r="N128" s="9" t="s">
        <v>521</v>
      </c>
      <c r="O128" s="9" t="str">
        <f t="shared" si="4"/>
        <v>Unkonwn</v>
      </c>
      <c r="P128" s="9" t="s">
        <v>523</v>
      </c>
      <c r="Q128" s="9" t="str">
        <f t="shared" si="5"/>
        <v>No Comments</v>
      </c>
    </row>
    <row r="129" spans="1:17" ht="14.25" customHeight="1">
      <c r="A129" s="8">
        <v>45351</v>
      </c>
      <c r="B129" s="9" t="str">
        <f t="shared" si="0"/>
        <v>Unknow</v>
      </c>
      <c r="C129" s="9" t="s">
        <v>522</v>
      </c>
      <c r="D129" s="10" t="s">
        <v>13</v>
      </c>
      <c r="E129" s="10" t="str">
        <f t="shared" si="1"/>
        <v>Faith</v>
      </c>
      <c r="F129" s="10" t="s">
        <v>47</v>
      </c>
      <c r="G129" s="9" t="s">
        <v>15</v>
      </c>
      <c r="H129" s="10" t="s">
        <v>106</v>
      </c>
      <c r="I129" s="10">
        <v>16</v>
      </c>
      <c r="J129" s="10">
        <v>488.67</v>
      </c>
      <c r="K129" s="10">
        <f t="shared" si="2"/>
        <v>7818.72</v>
      </c>
      <c r="L129" s="10" t="s">
        <v>136</v>
      </c>
      <c r="M129" s="10" t="str">
        <f t="shared" si="3"/>
        <v>CASH</v>
      </c>
      <c r="N129" s="10" t="s">
        <v>65</v>
      </c>
      <c r="O129" s="10" t="str">
        <f t="shared" si="4"/>
        <v>Cash</v>
      </c>
      <c r="P129" s="9" t="s">
        <v>523</v>
      </c>
      <c r="Q129" s="9" t="str">
        <f t="shared" si="5"/>
        <v>No Comments</v>
      </c>
    </row>
    <row r="130" spans="1:17" ht="14.25" customHeight="1">
      <c r="A130" s="8">
        <v>45350</v>
      </c>
      <c r="B130" s="10" t="str">
        <f t="shared" si="0"/>
        <v>West</v>
      </c>
      <c r="C130" s="10" t="s">
        <v>54</v>
      </c>
      <c r="D130" s="10" t="s">
        <v>62</v>
      </c>
      <c r="E130" s="10" t="str">
        <f t="shared" si="1"/>
        <v>Hannah</v>
      </c>
      <c r="F130" s="10" t="s">
        <v>50</v>
      </c>
      <c r="G130" s="9" t="s">
        <v>37</v>
      </c>
      <c r="H130" s="10" t="s">
        <v>169</v>
      </c>
      <c r="I130" s="10">
        <v>8</v>
      </c>
      <c r="J130" s="10">
        <v>164.06</v>
      </c>
      <c r="K130" s="10">
        <f t="shared" si="2"/>
        <v>1312.48</v>
      </c>
      <c r="L130" s="10" t="s">
        <v>278</v>
      </c>
      <c r="M130" s="9" t="str">
        <f t="shared" si="3"/>
        <v>UNKONWN</v>
      </c>
      <c r="N130" s="9" t="s">
        <v>521</v>
      </c>
      <c r="O130" s="9" t="str">
        <f t="shared" si="4"/>
        <v>Unkonwn</v>
      </c>
      <c r="P130" s="10" t="s">
        <v>52</v>
      </c>
      <c r="Q130" s="10" t="str">
        <f t="shared" si="5"/>
        <v>Follow Up</v>
      </c>
    </row>
    <row r="131" spans="1:17" ht="14.25" customHeight="1">
      <c r="A131" s="8">
        <v>45454</v>
      </c>
      <c r="B131" s="9" t="str">
        <f t="shared" si="0"/>
        <v>North</v>
      </c>
      <c r="C131" s="9" t="s">
        <v>12</v>
      </c>
      <c r="D131" s="10" t="s">
        <v>87</v>
      </c>
      <c r="E131" s="10" t="str">
        <f t="shared" si="1"/>
        <v>Ethan</v>
      </c>
      <c r="F131" s="10" t="s">
        <v>47</v>
      </c>
      <c r="G131" s="9" t="s">
        <v>15</v>
      </c>
      <c r="H131" s="10" t="s">
        <v>213</v>
      </c>
      <c r="I131" s="10">
        <v>11</v>
      </c>
      <c r="J131" s="10">
        <v>159.05000000000001</v>
      </c>
      <c r="K131" s="10">
        <f t="shared" si="2"/>
        <v>1749.5500000000002</v>
      </c>
      <c r="L131" s="10" t="s">
        <v>280</v>
      </c>
      <c r="M131" s="10" t="str">
        <f t="shared" si="3"/>
        <v>CASH</v>
      </c>
      <c r="N131" s="10" t="s">
        <v>65</v>
      </c>
      <c r="O131" s="10" t="str">
        <f t="shared" si="4"/>
        <v>Cash</v>
      </c>
      <c r="P131" s="10" t="s">
        <v>52</v>
      </c>
      <c r="Q131" s="10" t="str">
        <f t="shared" si="5"/>
        <v>Follow Up</v>
      </c>
    </row>
    <row r="132" spans="1:17" ht="14.25" customHeight="1">
      <c r="A132" s="8">
        <v>45454</v>
      </c>
      <c r="B132" s="10" t="str">
        <f t="shared" si="0"/>
        <v>South</v>
      </c>
      <c r="C132" s="10" t="s">
        <v>21</v>
      </c>
      <c r="D132" s="10" t="s">
        <v>13</v>
      </c>
      <c r="E132" s="10" t="str">
        <f t="shared" si="1"/>
        <v>Faith</v>
      </c>
      <c r="F132" s="10" t="s">
        <v>47</v>
      </c>
      <c r="G132" s="9" t="s">
        <v>37</v>
      </c>
      <c r="H132" s="10" t="s">
        <v>127</v>
      </c>
      <c r="I132" s="10">
        <v>9</v>
      </c>
      <c r="J132" s="10">
        <v>323.62</v>
      </c>
      <c r="K132" s="10">
        <f t="shared" si="2"/>
        <v>2912.58</v>
      </c>
      <c r="L132" s="10" t="s">
        <v>281</v>
      </c>
      <c r="M132" s="9" t="str">
        <f t="shared" si="3"/>
        <v>UNKONWN</v>
      </c>
      <c r="N132" s="9" t="s">
        <v>521</v>
      </c>
      <c r="O132" s="9" t="str">
        <f t="shared" si="4"/>
        <v>Unkonwn</v>
      </c>
      <c r="P132" s="10" t="s">
        <v>40</v>
      </c>
      <c r="Q132" s="10" t="str">
        <f t="shared" si="5"/>
        <v>Urgent</v>
      </c>
    </row>
    <row r="133" spans="1:17" ht="14.25" customHeight="1">
      <c r="A133" s="8">
        <v>45556</v>
      </c>
      <c r="B133" s="9" t="str">
        <f t="shared" si="0"/>
        <v>North</v>
      </c>
      <c r="C133" s="9" t="s">
        <v>12</v>
      </c>
      <c r="D133" s="10" t="s">
        <v>59</v>
      </c>
      <c r="E133" s="10" t="str">
        <f t="shared" si="1"/>
        <v>Charlie</v>
      </c>
      <c r="F133" s="10" t="s">
        <v>36</v>
      </c>
      <c r="G133" s="9" t="s">
        <v>43</v>
      </c>
      <c r="H133" s="10" t="s">
        <v>30</v>
      </c>
      <c r="I133" s="10">
        <v>12</v>
      </c>
      <c r="J133" s="10">
        <v>150.46</v>
      </c>
      <c r="K133" s="10">
        <f t="shared" si="2"/>
        <v>1805.52</v>
      </c>
      <c r="L133" s="10" t="s">
        <v>283</v>
      </c>
      <c r="M133" s="10" t="str">
        <f t="shared" si="3"/>
        <v>CREDIT CARD</v>
      </c>
      <c r="N133" s="10" t="s">
        <v>75</v>
      </c>
      <c r="O133" s="10" t="str">
        <f t="shared" si="4"/>
        <v>Credit Card</v>
      </c>
      <c r="P133" s="9" t="s">
        <v>523</v>
      </c>
      <c r="Q133" s="9" t="str">
        <f t="shared" si="5"/>
        <v>No Comments</v>
      </c>
    </row>
    <row r="134" spans="1:17" ht="14.25" customHeight="1">
      <c r="A134" s="8">
        <v>45515</v>
      </c>
      <c r="B134" s="10" t="str">
        <f t="shared" si="0"/>
        <v>South</v>
      </c>
      <c r="C134" s="10" t="s">
        <v>21</v>
      </c>
      <c r="D134" s="10" t="s">
        <v>59</v>
      </c>
      <c r="E134" s="10" t="str">
        <f t="shared" si="1"/>
        <v>Charlie</v>
      </c>
      <c r="F134" s="10" t="s">
        <v>47</v>
      </c>
      <c r="G134" s="10" t="s">
        <v>24</v>
      </c>
      <c r="H134" s="10" t="s">
        <v>71</v>
      </c>
      <c r="I134" s="10">
        <v>10</v>
      </c>
      <c r="J134" s="10">
        <v>494.59</v>
      </c>
      <c r="K134" s="10">
        <f t="shared" si="2"/>
        <v>4945.8999999999996</v>
      </c>
      <c r="L134" s="10" t="s">
        <v>284</v>
      </c>
      <c r="M134" s="10" t="str">
        <f t="shared" si="3"/>
        <v xml:space="preserve">MOBILE MONEY </v>
      </c>
      <c r="N134" s="10" t="s">
        <v>57</v>
      </c>
      <c r="O134" s="10" t="str">
        <f t="shared" si="4"/>
        <v xml:space="preserve">Mobile Money </v>
      </c>
      <c r="P134" s="9" t="s">
        <v>523</v>
      </c>
      <c r="Q134" s="9" t="str">
        <f t="shared" si="5"/>
        <v>No Comments</v>
      </c>
    </row>
    <row r="135" spans="1:17" ht="14.25" customHeight="1">
      <c r="A135" s="8">
        <v>45454</v>
      </c>
      <c r="B135" s="10" t="str">
        <f t="shared" si="0"/>
        <v>South</v>
      </c>
      <c r="C135" s="10" t="s">
        <v>21</v>
      </c>
      <c r="D135" s="10" t="s">
        <v>42</v>
      </c>
      <c r="E135" s="10" t="str">
        <f t="shared" si="1"/>
        <v>Alice</v>
      </c>
      <c r="F135" s="10" t="s">
        <v>36</v>
      </c>
      <c r="G135" s="9" t="s">
        <v>37</v>
      </c>
      <c r="H135" s="10" t="s">
        <v>55</v>
      </c>
      <c r="I135" s="10">
        <v>16</v>
      </c>
      <c r="J135" s="10">
        <v>13.76</v>
      </c>
      <c r="K135" s="10">
        <f t="shared" si="2"/>
        <v>220.16</v>
      </c>
      <c r="L135" s="10" t="s">
        <v>285</v>
      </c>
      <c r="M135" s="10" t="str">
        <f t="shared" si="3"/>
        <v xml:space="preserve">MOBILE MONEY </v>
      </c>
      <c r="N135" s="10" t="s">
        <v>57</v>
      </c>
      <c r="O135" s="10" t="str">
        <f t="shared" si="4"/>
        <v xml:space="preserve">Mobile Money </v>
      </c>
      <c r="P135" s="9" t="s">
        <v>523</v>
      </c>
      <c r="Q135" s="9" t="str">
        <f t="shared" si="5"/>
        <v>No Comments</v>
      </c>
    </row>
    <row r="136" spans="1:17" ht="14.25" customHeight="1">
      <c r="A136" s="8">
        <v>45430</v>
      </c>
      <c r="B136" s="10" t="str">
        <f t="shared" si="0"/>
        <v>East</v>
      </c>
      <c r="C136" s="10" t="s">
        <v>35</v>
      </c>
      <c r="D136" s="10" t="s">
        <v>62</v>
      </c>
      <c r="E136" s="10" t="str">
        <f t="shared" si="1"/>
        <v>Hannah</v>
      </c>
      <c r="F136" s="10" t="s">
        <v>23</v>
      </c>
      <c r="G136" s="9" t="s">
        <v>43</v>
      </c>
      <c r="H136" s="10" t="s">
        <v>106</v>
      </c>
      <c r="I136" s="10">
        <v>2</v>
      </c>
      <c r="J136" s="10">
        <v>18.489999999999998</v>
      </c>
      <c r="K136" s="10">
        <f t="shared" si="2"/>
        <v>36.979999999999997</v>
      </c>
      <c r="L136" s="10" t="s">
        <v>287</v>
      </c>
      <c r="M136" s="10" t="str">
        <f t="shared" si="3"/>
        <v>BANK TRANSFER</v>
      </c>
      <c r="N136" s="10" t="s">
        <v>18</v>
      </c>
      <c r="O136" s="10" t="str">
        <f t="shared" si="4"/>
        <v>Bank Transfer</v>
      </c>
      <c r="P136" s="10" t="s">
        <v>52</v>
      </c>
      <c r="Q136" s="10" t="str">
        <f t="shared" si="5"/>
        <v>Follow Up</v>
      </c>
    </row>
    <row r="137" spans="1:17" ht="14.25" customHeight="1">
      <c r="A137" s="8">
        <v>45514</v>
      </c>
      <c r="B137" s="10" t="str">
        <f t="shared" si="0"/>
        <v>East</v>
      </c>
      <c r="C137" s="10" t="s">
        <v>146</v>
      </c>
      <c r="D137" s="10" t="s">
        <v>22</v>
      </c>
      <c r="E137" s="10" t="str">
        <f t="shared" si="1"/>
        <v>Bob</v>
      </c>
      <c r="F137" s="10" t="s">
        <v>29</v>
      </c>
      <c r="G137" s="9" t="s">
        <v>43</v>
      </c>
      <c r="H137" s="10" t="s">
        <v>101</v>
      </c>
      <c r="I137" s="10">
        <v>16</v>
      </c>
      <c r="J137" s="10">
        <v>413.6</v>
      </c>
      <c r="K137" s="10">
        <f t="shared" si="2"/>
        <v>6617.6</v>
      </c>
      <c r="L137" s="10" t="s">
        <v>79</v>
      </c>
      <c r="M137" s="10" t="str">
        <f t="shared" si="3"/>
        <v>CASH</v>
      </c>
      <c r="N137" s="10" t="s">
        <v>93</v>
      </c>
      <c r="O137" s="10" t="str">
        <f t="shared" si="4"/>
        <v>Cash</v>
      </c>
      <c r="P137" s="10" t="s">
        <v>40</v>
      </c>
      <c r="Q137" s="10" t="str">
        <f t="shared" si="5"/>
        <v>Urgent</v>
      </c>
    </row>
    <row r="138" spans="1:17" ht="14.25" customHeight="1">
      <c r="A138" s="8">
        <v>45376</v>
      </c>
      <c r="B138" s="9" t="str">
        <f t="shared" si="0"/>
        <v>North</v>
      </c>
      <c r="C138" s="9" t="s">
        <v>12</v>
      </c>
      <c r="D138" s="10" t="s">
        <v>42</v>
      </c>
      <c r="E138" s="10" t="str">
        <f t="shared" si="1"/>
        <v>Alice</v>
      </c>
      <c r="F138" s="10" t="s">
        <v>50</v>
      </c>
      <c r="G138" s="10" t="s">
        <v>70</v>
      </c>
      <c r="H138" s="10" t="s">
        <v>106</v>
      </c>
      <c r="I138" s="10">
        <v>19</v>
      </c>
      <c r="J138" s="10">
        <v>332.62</v>
      </c>
      <c r="K138" s="10">
        <f t="shared" si="2"/>
        <v>6319.78</v>
      </c>
      <c r="L138" s="10" t="s">
        <v>48</v>
      </c>
      <c r="M138" s="10" t="str">
        <f t="shared" si="3"/>
        <v>CREDIT CARD</v>
      </c>
      <c r="N138" s="10" t="s">
        <v>75</v>
      </c>
      <c r="O138" s="10" t="str">
        <f t="shared" si="4"/>
        <v>Credit Card</v>
      </c>
      <c r="P138" s="10" t="s">
        <v>40</v>
      </c>
      <c r="Q138" s="10" t="str">
        <f t="shared" si="5"/>
        <v>Urgent</v>
      </c>
    </row>
    <row r="139" spans="1:17" ht="14.25" customHeight="1">
      <c r="A139" s="8">
        <v>45397</v>
      </c>
      <c r="B139" s="9" t="str">
        <f t="shared" si="0"/>
        <v>North</v>
      </c>
      <c r="C139" s="9" t="s">
        <v>12</v>
      </c>
      <c r="D139" s="10" t="s">
        <v>87</v>
      </c>
      <c r="E139" s="10" t="str">
        <f t="shared" si="1"/>
        <v>Ethan</v>
      </c>
      <c r="F139" s="10" t="s">
        <v>14</v>
      </c>
      <c r="G139" s="9" t="s">
        <v>15</v>
      </c>
      <c r="H139" s="10" t="s">
        <v>112</v>
      </c>
      <c r="I139" s="10">
        <v>5</v>
      </c>
      <c r="J139" s="10">
        <v>13.37</v>
      </c>
      <c r="K139" s="10">
        <f t="shared" si="2"/>
        <v>66.849999999999994</v>
      </c>
      <c r="L139" s="10" t="s">
        <v>136</v>
      </c>
      <c r="M139" s="10" t="str">
        <f t="shared" si="3"/>
        <v>CASH</v>
      </c>
      <c r="N139" s="10" t="s">
        <v>93</v>
      </c>
      <c r="O139" s="10" t="str">
        <f t="shared" si="4"/>
        <v>Cash</v>
      </c>
      <c r="P139" s="10" t="s">
        <v>19</v>
      </c>
      <c r="Q139" s="10" t="str">
        <f t="shared" si="5"/>
        <v>Double Entry</v>
      </c>
    </row>
    <row r="140" spans="1:17" ht="14.25" customHeight="1">
      <c r="A140" s="8">
        <v>45562</v>
      </c>
      <c r="B140" s="9" t="str">
        <f t="shared" si="0"/>
        <v>Unknow</v>
      </c>
      <c r="C140" s="9" t="s">
        <v>522</v>
      </c>
      <c r="D140" s="10" t="s">
        <v>59</v>
      </c>
      <c r="E140" s="10" t="str">
        <f t="shared" si="1"/>
        <v>Charlie</v>
      </c>
      <c r="F140" s="10" t="s">
        <v>14</v>
      </c>
      <c r="G140" s="9" t="s">
        <v>15</v>
      </c>
      <c r="H140" s="10" t="s">
        <v>273</v>
      </c>
      <c r="I140" s="10">
        <v>4</v>
      </c>
      <c r="J140" s="10">
        <v>489.72</v>
      </c>
      <c r="K140" s="10">
        <f t="shared" si="2"/>
        <v>1958.88</v>
      </c>
      <c r="L140" s="10" t="s">
        <v>291</v>
      </c>
      <c r="M140" s="10" t="str">
        <f t="shared" si="3"/>
        <v>CASH</v>
      </c>
      <c r="N140" s="10" t="s">
        <v>93</v>
      </c>
      <c r="O140" s="10" t="str">
        <f t="shared" si="4"/>
        <v>Cash</v>
      </c>
      <c r="P140" s="10" t="s">
        <v>40</v>
      </c>
      <c r="Q140" s="10" t="str">
        <f t="shared" si="5"/>
        <v>Urgent</v>
      </c>
    </row>
    <row r="141" spans="1:17" ht="14.25" customHeight="1">
      <c r="A141" s="8">
        <v>45342</v>
      </c>
      <c r="B141" s="10" t="str">
        <f t="shared" si="0"/>
        <v>South</v>
      </c>
      <c r="C141" s="10" t="s">
        <v>21</v>
      </c>
      <c r="D141" s="10" t="s">
        <v>42</v>
      </c>
      <c r="E141" s="10" t="str">
        <f t="shared" si="1"/>
        <v>Alice</v>
      </c>
      <c r="F141" s="10" t="s">
        <v>23</v>
      </c>
      <c r="G141" s="10" t="s">
        <v>70</v>
      </c>
      <c r="H141" s="10" t="s">
        <v>25</v>
      </c>
      <c r="I141" s="10">
        <v>14</v>
      </c>
      <c r="J141" s="10">
        <v>468.15</v>
      </c>
      <c r="K141" s="10">
        <f t="shared" si="2"/>
        <v>6554.0999999999995</v>
      </c>
      <c r="L141" s="10" t="s">
        <v>293</v>
      </c>
      <c r="M141" s="10" t="str">
        <f t="shared" si="3"/>
        <v>MOBILE MONEY</v>
      </c>
      <c r="N141" s="10" t="s">
        <v>32</v>
      </c>
      <c r="O141" s="10" t="str">
        <f t="shared" si="4"/>
        <v>Mobile Money</v>
      </c>
      <c r="P141" s="10" t="s">
        <v>33</v>
      </c>
      <c r="Q141" s="10" t="str">
        <f t="shared" si="5"/>
        <v>Priority</v>
      </c>
    </row>
    <row r="142" spans="1:17" ht="14.25" customHeight="1">
      <c r="A142" s="8">
        <v>45388</v>
      </c>
      <c r="B142" s="10" t="str">
        <f t="shared" si="0"/>
        <v>West</v>
      </c>
      <c r="C142" s="10" t="s">
        <v>54</v>
      </c>
      <c r="D142" s="10" t="s">
        <v>28</v>
      </c>
      <c r="E142" s="10" t="str">
        <f t="shared" si="1"/>
        <v>George</v>
      </c>
      <c r="F142" s="10" t="s">
        <v>14</v>
      </c>
      <c r="G142" s="10" t="s">
        <v>24</v>
      </c>
      <c r="H142" s="10" t="s">
        <v>88</v>
      </c>
      <c r="I142" s="10">
        <v>12</v>
      </c>
      <c r="J142" s="10">
        <v>447.09</v>
      </c>
      <c r="K142" s="10">
        <f t="shared" si="2"/>
        <v>5365.08</v>
      </c>
      <c r="L142" s="10" t="s">
        <v>295</v>
      </c>
      <c r="M142" s="10" t="str">
        <f t="shared" si="3"/>
        <v>CASH</v>
      </c>
      <c r="N142" s="10" t="s">
        <v>65</v>
      </c>
      <c r="O142" s="10" t="str">
        <f t="shared" si="4"/>
        <v>Cash</v>
      </c>
      <c r="P142" s="10" t="s">
        <v>19</v>
      </c>
      <c r="Q142" s="10" t="str">
        <f t="shared" si="5"/>
        <v>Double Entry</v>
      </c>
    </row>
    <row r="143" spans="1:17" ht="14.25" customHeight="1">
      <c r="A143" s="8">
        <v>45562</v>
      </c>
      <c r="B143" s="9" t="str">
        <f t="shared" si="0"/>
        <v>North</v>
      </c>
      <c r="C143" s="9" t="s">
        <v>12</v>
      </c>
      <c r="D143" s="10" t="s">
        <v>22</v>
      </c>
      <c r="E143" s="10" t="str">
        <f t="shared" si="1"/>
        <v>Bob</v>
      </c>
      <c r="F143" s="10" t="s">
        <v>36</v>
      </c>
      <c r="G143" s="9" t="s">
        <v>43</v>
      </c>
      <c r="H143" s="10" t="s">
        <v>67</v>
      </c>
      <c r="I143" s="10">
        <v>8</v>
      </c>
      <c r="J143" s="10">
        <v>83.76</v>
      </c>
      <c r="K143" s="10">
        <f t="shared" si="2"/>
        <v>670.08</v>
      </c>
      <c r="L143" s="10" t="s">
        <v>296</v>
      </c>
      <c r="M143" s="10" t="str">
        <f t="shared" si="3"/>
        <v>BANK TRANSFER</v>
      </c>
      <c r="N143" s="10" t="s">
        <v>18</v>
      </c>
      <c r="O143" s="10" t="str">
        <f t="shared" si="4"/>
        <v>Bank Transfer</v>
      </c>
      <c r="P143" s="9" t="s">
        <v>523</v>
      </c>
      <c r="Q143" s="9" t="str">
        <f t="shared" si="5"/>
        <v>No Comments</v>
      </c>
    </row>
    <row r="144" spans="1:17" ht="14.25" customHeight="1">
      <c r="A144" s="8">
        <v>45583</v>
      </c>
      <c r="B144" s="10" t="str">
        <f t="shared" si="0"/>
        <v>South</v>
      </c>
      <c r="C144" s="10" t="s">
        <v>21</v>
      </c>
      <c r="D144" s="10" t="s">
        <v>87</v>
      </c>
      <c r="E144" s="10" t="str">
        <f t="shared" si="1"/>
        <v>Ethan</v>
      </c>
      <c r="F144" s="10" t="s">
        <v>47</v>
      </c>
      <c r="G144" s="9" t="s">
        <v>37</v>
      </c>
      <c r="H144" s="10" t="s">
        <v>183</v>
      </c>
      <c r="I144" s="10">
        <v>19</v>
      </c>
      <c r="J144" s="10">
        <v>111.45</v>
      </c>
      <c r="K144" s="10">
        <f t="shared" si="2"/>
        <v>2117.5500000000002</v>
      </c>
      <c r="L144" s="10" t="s">
        <v>297</v>
      </c>
      <c r="M144" s="10" t="str">
        <f t="shared" si="3"/>
        <v>CREDIT CARD</v>
      </c>
      <c r="N144" s="10" t="s">
        <v>75</v>
      </c>
      <c r="O144" s="10" t="str">
        <f t="shared" si="4"/>
        <v>Credit Card</v>
      </c>
      <c r="P144" s="9" t="s">
        <v>523</v>
      </c>
      <c r="Q144" s="9" t="str">
        <f t="shared" si="5"/>
        <v>No Comments</v>
      </c>
    </row>
    <row r="145" spans="1:17" ht="14.25" customHeight="1">
      <c r="A145" s="8">
        <v>45437</v>
      </c>
      <c r="B145" s="10" t="str">
        <f t="shared" si="0"/>
        <v>East</v>
      </c>
      <c r="C145" s="10" t="s">
        <v>146</v>
      </c>
      <c r="D145" s="10" t="s">
        <v>62</v>
      </c>
      <c r="E145" s="10" t="str">
        <f t="shared" si="1"/>
        <v>Hannah</v>
      </c>
      <c r="F145" s="10" t="s">
        <v>36</v>
      </c>
      <c r="G145" s="9" t="s">
        <v>37</v>
      </c>
      <c r="H145" s="10" t="s">
        <v>38</v>
      </c>
      <c r="I145" s="10">
        <v>6</v>
      </c>
      <c r="J145" s="10">
        <v>112.36</v>
      </c>
      <c r="K145" s="10">
        <f t="shared" si="2"/>
        <v>674.16</v>
      </c>
      <c r="L145" s="10" t="s">
        <v>298</v>
      </c>
      <c r="M145" s="10" t="str">
        <f t="shared" si="3"/>
        <v xml:space="preserve">MOBILE MONEY </v>
      </c>
      <c r="N145" s="10" t="s">
        <v>57</v>
      </c>
      <c r="O145" s="10" t="str">
        <f t="shared" si="4"/>
        <v xml:space="preserve">Mobile Money </v>
      </c>
      <c r="P145" s="10" t="s">
        <v>19</v>
      </c>
      <c r="Q145" s="10" t="str">
        <f t="shared" si="5"/>
        <v>Double Entry</v>
      </c>
    </row>
    <row r="146" spans="1:17" ht="14.25" customHeight="1">
      <c r="A146" s="8">
        <v>45487</v>
      </c>
      <c r="B146" s="9" t="str">
        <f t="shared" si="0"/>
        <v>Unknow</v>
      </c>
      <c r="C146" s="9" t="s">
        <v>522</v>
      </c>
      <c r="D146" s="10" t="s">
        <v>28</v>
      </c>
      <c r="E146" s="10" t="str">
        <f t="shared" si="1"/>
        <v>George</v>
      </c>
      <c r="F146" s="10" t="s">
        <v>36</v>
      </c>
      <c r="G146" s="9" t="s">
        <v>15</v>
      </c>
      <c r="H146" s="9" t="s">
        <v>91</v>
      </c>
      <c r="I146" s="10">
        <v>2</v>
      </c>
      <c r="J146" s="10">
        <v>51.36</v>
      </c>
      <c r="K146" s="10">
        <f t="shared" si="2"/>
        <v>102.72</v>
      </c>
      <c r="L146" s="10" t="s">
        <v>300</v>
      </c>
      <c r="M146" s="10" t="str">
        <f t="shared" si="3"/>
        <v>CASH</v>
      </c>
      <c r="N146" s="10" t="s">
        <v>65</v>
      </c>
      <c r="O146" s="10" t="str">
        <f t="shared" si="4"/>
        <v>Cash</v>
      </c>
      <c r="P146" s="9" t="s">
        <v>523</v>
      </c>
      <c r="Q146" s="9" t="str">
        <f t="shared" si="5"/>
        <v>No Comments</v>
      </c>
    </row>
    <row r="147" spans="1:17" ht="14.25" customHeight="1">
      <c r="A147" s="8">
        <v>45292</v>
      </c>
      <c r="B147" s="10" t="str">
        <f t="shared" si="0"/>
        <v>East</v>
      </c>
      <c r="C147" s="10" t="s">
        <v>35</v>
      </c>
      <c r="D147" s="10" t="s">
        <v>87</v>
      </c>
      <c r="E147" s="10" t="str">
        <f t="shared" si="1"/>
        <v>Ethan</v>
      </c>
      <c r="F147" s="10" t="s">
        <v>36</v>
      </c>
      <c r="G147" s="9" t="s">
        <v>43</v>
      </c>
      <c r="H147" s="10" t="s">
        <v>106</v>
      </c>
      <c r="I147" s="10">
        <v>4</v>
      </c>
      <c r="J147" s="10">
        <v>5.61</v>
      </c>
      <c r="K147" s="10">
        <f t="shared" si="2"/>
        <v>22.44</v>
      </c>
      <c r="L147" s="10" t="s">
        <v>302</v>
      </c>
      <c r="M147" s="10" t="str">
        <f t="shared" si="3"/>
        <v>BANK TRANSFER</v>
      </c>
      <c r="N147" s="10" t="s">
        <v>18</v>
      </c>
      <c r="O147" s="10" t="str">
        <f t="shared" si="4"/>
        <v>Bank Transfer</v>
      </c>
      <c r="P147" s="9" t="s">
        <v>523</v>
      </c>
      <c r="Q147" s="9" t="str">
        <f t="shared" si="5"/>
        <v>No Comments</v>
      </c>
    </row>
    <row r="148" spans="1:17" ht="14.25" customHeight="1">
      <c r="A148" s="8">
        <v>45479</v>
      </c>
      <c r="B148" s="10" t="str">
        <f t="shared" si="0"/>
        <v>West</v>
      </c>
      <c r="C148" s="10" t="s">
        <v>54</v>
      </c>
      <c r="D148" s="10" t="s">
        <v>62</v>
      </c>
      <c r="E148" s="10" t="str">
        <f t="shared" si="1"/>
        <v>Hannah</v>
      </c>
      <c r="F148" s="10" t="s">
        <v>36</v>
      </c>
      <c r="G148" s="9" t="s">
        <v>43</v>
      </c>
      <c r="H148" s="10" t="s">
        <v>169</v>
      </c>
      <c r="I148" s="10">
        <v>19</v>
      </c>
      <c r="J148" s="10">
        <v>195.03</v>
      </c>
      <c r="K148" s="10">
        <f t="shared" si="2"/>
        <v>3705.57</v>
      </c>
      <c r="L148" s="10" t="s">
        <v>297</v>
      </c>
      <c r="M148" s="10" t="str">
        <f t="shared" si="3"/>
        <v>CASH</v>
      </c>
      <c r="N148" s="10" t="s">
        <v>93</v>
      </c>
      <c r="O148" s="10" t="str">
        <f t="shared" si="4"/>
        <v>Cash</v>
      </c>
      <c r="P148" s="9" t="s">
        <v>523</v>
      </c>
      <c r="Q148" s="9" t="str">
        <f t="shared" si="5"/>
        <v>No Comments</v>
      </c>
    </row>
    <row r="149" spans="1:17" ht="14.25" customHeight="1">
      <c r="A149" s="8">
        <v>45628</v>
      </c>
      <c r="B149" s="10" t="str">
        <f t="shared" si="0"/>
        <v>West</v>
      </c>
      <c r="C149" s="10" t="s">
        <v>54</v>
      </c>
      <c r="D149" s="10" t="s">
        <v>13</v>
      </c>
      <c r="E149" s="10" t="str">
        <f t="shared" si="1"/>
        <v>Faith</v>
      </c>
      <c r="F149" s="10" t="s">
        <v>29</v>
      </c>
      <c r="G149" s="9" t="s">
        <v>43</v>
      </c>
      <c r="H149" s="10" t="s">
        <v>30</v>
      </c>
      <c r="I149" s="10">
        <v>17</v>
      </c>
      <c r="J149" s="10">
        <v>340.48</v>
      </c>
      <c r="K149" s="10">
        <f t="shared" si="2"/>
        <v>5788.16</v>
      </c>
      <c r="L149" s="10" t="s">
        <v>220</v>
      </c>
      <c r="M149" s="10" t="str">
        <f t="shared" si="3"/>
        <v>BANK TRANSFER</v>
      </c>
      <c r="N149" s="10" t="s">
        <v>18</v>
      </c>
      <c r="O149" s="10" t="str">
        <f t="shared" si="4"/>
        <v>Bank Transfer</v>
      </c>
      <c r="P149" s="10" t="s">
        <v>83</v>
      </c>
      <c r="Q149" s="10" t="str">
        <f t="shared" si="5"/>
        <v>Check Stock</v>
      </c>
    </row>
    <row r="150" spans="1:17" ht="14.25" customHeight="1">
      <c r="A150" s="8">
        <v>45493</v>
      </c>
      <c r="B150" s="10" t="str">
        <f t="shared" si="0"/>
        <v>SOUTH</v>
      </c>
      <c r="C150" s="10" t="s">
        <v>46</v>
      </c>
      <c r="D150" s="10" t="s">
        <v>22</v>
      </c>
      <c r="E150" s="10" t="str">
        <f t="shared" si="1"/>
        <v>Bob</v>
      </c>
      <c r="F150" s="10" t="s">
        <v>14</v>
      </c>
      <c r="G150" s="9" t="s">
        <v>43</v>
      </c>
      <c r="H150" s="10" t="s">
        <v>67</v>
      </c>
      <c r="I150" s="10">
        <v>2</v>
      </c>
      <c r="J150" s="10">
        <v>481.11</v>
      </c>
      <c r="K150" s="10">
        <f t="shared" si="2"/>
        <v>962.22</v>
      </c>
      <c r="L150" s="10" t="s">
        <v>304</v>
      </c>
      <c r="M150" s="9" t="str">
        <f t="shared" si="3"/>
        <v>UNKONWN</v>
      </c>
      <c r="N150" s="9" t="s">
        <v>521</v>
      </c>
      <c r="O150" s="9" t="str">
        <f t="shared" si="4"/>
        <v>Unkonwn</v>
      </c>
      <c r="P150" s="9" t="s">
        <v>523</v>
      </c>
      <c r="Q150" s="9" t="str">
        <f t="shared" si="5"/>
        <v>No Comments</v>
      </c>
    </row>
    <row r="151" spans="1:17" ht="14.25" customHeight="1">
      <c r="A151" s="8">
        <v>45446</v>
      </c>
      <c r="B151" s="10" t="str">
        <f t="shared" si="0"/>
        <v>SOUTH</v>
      </c>
      <c r="C151" s="10" t="s">
        <v>46</v>
      </c>
      <c r="D151" s="10" t="s">
        <v>42</v>
      </c>
      <c r="E151" s="10" t="str">
        <f t="shared" si="1"/>
        <v>Alice</v>
      </c>
      <c r="F151" s="10" t="s">
        <v>50</v>
      </c>
      <c r="G151" s="9" t="s">
        <v>15</v>
      </c>
      <c r="H151" s="9" t="s">
        <v>91</v>
      </c>
      <c r="I151" s="10">
        <v>18</v>
      </c>
      <c r="J151" s="10">
        <v>205.25</v>
      </c>
      <c r="K151" s="10">
        <f t="shared" si="2"/>
        <v>3694.5</v>
      </c>
      <c r="L151" s="10" t="s">
        <v>141</v>
      </c>
      <c r="M151" s="10" t="str">
        <f t="shared" si="3"/>
        <v xml:space="preserve">MOBILE MONEY </v>
      </c>
      <c r="N151" s="10" t="s">
        <v>57</v>
      </c>
      <c r="O151" s="10" t="str">
        <f t="shared" si="4"/>
        <v xml:space="preserve">Mobile Money </v>
      </c>
      <c r="P151" s="10" t="s">
        <v>83</v>
      </c>
      <c r="Q151" s="10" t="str">
        <f t="shared" si="5"/>
        <v>Check Stock</v>
      </c>
    </row>
    <row r="152" spans="1:17" ht="14.25" customHeight="1">
      <c r="A152" s="8">
        <v>45354</v>
      </c>
      <c r="B152" s="10" t="str">
        <f t="shared" si="0"/>
        <v>West</v>
      </c>
      <c r="C152" s="10" t="s">
        <v>54</v>
      </c>
      <c r="D152" s="10" t="s">
        <v>28</v>
      </c>
      <c r="E152" s="10" t="str">
        <f t="shared" si="1"/>
        <v>George</v>
      </c>
      <c r="F152" s="10" t="s">
        <v>29</v>
      </c>
      <c r="G152" s="9" t="s">
        <v>15</v>
      </c>
      <c r="H152" s="10" t="s">
        <v>55</v>
      </c>
      <c r="I152" s="10">
        <v>11</v>
      </c>
      <c r="J152" s="10">
        <v>268.5</v>
      </c>
      <c r="K152" s="10">
        <f t="shared" si="2"/>
        <v>2953.5</v>
      </c>
      <c r="L152" s="10" t="s">
        <v>267</v>
      </c>
      <c r="M152" s="10" t="str">
        <f t="shared" si="3"/>
        <v xml:space="preserve">MOBILE MONEY </v>
      </c>
      <c r="N152" s="10" t="s">
        <v>57</v>
      </c>
      <c r="O152" s="10" t="str">
        <f t="shared" si="4"/>
        <v xml:space="preserve">Mobile Money </v>
      </c>
      <c r="P152" s="10" t="s">
        <v>40</v>
      </c>
      <c r="Q152" s="10" t="str">
        <f t="shared" si="5"/>
        <v>Urgent</v>
      </c>
    </row>
    <row r="153" spans="1:17" ht="14.25" customHeight="1">
      <c r="A153" s="8">
        <v>45437</v>
      </c>
      <c r="B153" s="10" t="str">
        <f t="shared" si="0"/>
        <v>East</v>
      </c>
      <c r="C153" s="10" t="s">
        <v>35</v>
      </c>
      <c r="D153" s="10" t="s">
        <v>77</v>
      </c>
      <c r="E153" s="10" t="str">
        <f t="shared" si="1"/>
        <v>Diana</v>
      </c>
      <c r="F153" s="10" t="s">
        <v>23</v>
      </c>
      <c r="G153" s="9" t="s">
        <v>521</v>
      </c>
      <c r="H153" s="10" t="s">
        <v>71</v>
      </c>
      <c r="I153" s="10">
        <v>1</v>
      </c>
      <c r="J153" s="10">
        <v>304.64</v>
      </c>
      <c r="K153" s="10">
        <f t="shared" si="2"/>
        <v>304.64</v>
      </c>
      <c r="L153" s="10" t="s">
        <v>245</v>
      </c>
      <c r="M153" s="10" t="str">
        <f t="shared" si="3"/>
        <v>BANK TRANSFER</v>
      </c>
      <c r="N153" s="10" t="s">
        <v>18</v>
      </c>
      <c r="O153" s="10" t="str">
        <f t="shared" si="4"/>
        <v>Bank Transfer</v>
      </c>
      <c r="P153" s="10" t="s">
        <v>83</v>
      </c>
      <c r="Q153" s="10" t="str">
        <f t="shared" si="5"/>
        <v>Check Stock</v>
      </c>
    </row>
    <row r="154" spans="1:17" ht="14.25" customHeight="1">
      <c r="A154" s="8">
        <v>45502</v>
      </c>
      <c r="B154" s="9" t="str">
        <f t="shared" si="0"/>
        <v>Unknow</v>
      </c>
      <c r="C154" s="9" t="s">
        <v>522</v>
      </c>
      <c r="D154" s="10" t="s">
        <v>28</v>
      </c>
      <c r="E154" s="10" t="str">
        <f t="shared" si="1"/>
        <v>George</v>
      </c>
      <c r="F154" s="10" t="s">
        <v>36</v>
      </c>
      <c r="G154" s="9" t="s">
        <v>15</v>
      </c>
      <c r="H154" s="10" t="s">
        <v>117</v>
      </c>
      <c r="I154" s="10">
        <v>6</v>
      </c>
      <c r="J154" s="10">
        <v>195.8</v>
      </c>
      <c r="K154" s="10">
        <f t="shared" si="2"/>
        <v>1174.8000000000002</v>
      </c>
      <c r="L154" s="10" t="s">
        <v>307</v>
      </c>
      <c r="M154" s="10" t="str">
        <f t="shared" si="3"/>
        <v>BANK TRANSFER</v>
      </c>
      <c r="N154" s="10" t="s">
        <v>18</v>
      </c>
      <c r="O154" s="10" t="str">
        <f t="shared" si="4"/>
        <v>Bank Transfer</v>
      </c>
      <c r="P154" s="9" t="s">
        <v>523</v>
      </c>
      <c r="Q154" s="9" t="str">
        <f t="shared" si="5"/>
        <v>No Comments</v>
      </c>
    </row>
    <row r="155" spans="1:17" ht="14.25" customHeight="1">
      <c r="A155" s="8">
        <v>45576</v>
      </c>
      <c r="B155" s="9" t="str">
        <f t="shared" si="0"/>
        <v>North</v>
      </c>
      <c r="C155" s="9" t="s">
        <v>12</v>
      </c>
      <c r="D155" s="10" t="s">
        <v>22</v>
      </c>
      <c r="E155" s="10" t="str">
        <f t="shared" si="1"/>
        <v>Bob</v>
      </c>
      <c r="F155" s="10" t="s">
        <v>14</v>
      </c>
      <c r="G155" s="9" t="s">
        <v>43</v>
      </c>
      <c r="H155" s="10" t="s">
        <v>127</v>
      </c>
      <c r="I155" s="10">
        <v>13</v>
      </c>
      <c r="J155" s="10">
        <v>199.56</v>
      </c>
      <c r="K155" s="10">
        <f t="shared" si="2"/>
        <v>2594.2800000000002</v>
      </c>
      <c r="L155" s="10" t="s">
        <v>255</v>
      </c>
      <c r="M155" s="10" t="str">
        <f t="shared" si="3"/>
        <v>CASH</v>
      </c>
      <c r="N155" s="10" t="s">
        <v>93</v>
      </c>
      <c r="O155" s="10" t="str">
        <f t="shared" si="4"/>
        <v>Cash</v>
      </c>
      <c r="P155" s="9" t="s">
        <v>523</v>
      </c>
      <c r="Q155" s="9" t="str">
        <f t="shared" si="5"/>
        <v>No Comments</v>
      </c>
    </row>
    <row r="156" spans="1:17" ht="14.25" customHeight="1">
      <c r="A156" s="8">
        <v>45537</v>
      </c>
      <c r="B156" s="9" t="str">
        <f t="shared" si="0"/>
        <v>North</v>
      </c>
      <c r="C156" s="9" t="s">
        <v>12</v>
      </c>
      <c r="D156" s="10" t="s">
        <v>59</v>
      </c>
      <c r="E156" s="10" t="str">
        <f t="shared" si="1"/>
        <v>Charlie</v>
      </c>
      <c r="F156" s="10" t="s">
        <v>50</v>
      </c>
      <c r="G156" s="9" t="s">
        <v>37</v>
      </c>
      <c r="H156" s="10" t="s">
        <v>213</v>
      </c>
      <c r="I156" s="10">
        <v>9</v>
      </c>
      <c r="J156" s="10">
        <v>241.77</v>
      </c>
      <c r="K156" s="10">
        <f t="shared" si="2"/>
        <v>2175.9300000000003</v>
      </c>
      <c r="L156" s="10" t="s">
        <v>232</v>
      </c>
      <c r="M156" s="10" t="str">
        <f t="shared" si="3"/>
        <v>MOBILE MONEY</v>
      </c>
      <c r="N156" s="10" t="s">
        <v>32</v>
      </c>
      <c r="O156" s="10" t="str">
        <f t="shared" si="4"/>
        <v>Mobile Money</v>
      </c>
      <c r="P156" s="10" t="s">
        <v>52</v>
      </c>
      <c r="Q156" s="10" t="str">
        <f t="shared" si="5"/>
        <v>Follow Up</v>
      </c>
    </row>
    <row r="157" spans="1:17" ht="14.25" customHeight="1">
      <c r="A157" s="8">
        <v>45488</v>
      </c>
      <c r="B157" s="9" t="str">
        <f t="shared" si="0"/>
        <v>North</v>
      </c>
      <c r="C157" s="9" t="s">
        <v>12</v>
      </c>
      <c r="D157" s="10" t="s">
        <v>59</v>
      </c>
      <c r="E157" s="10" t="str">
        <f t="shared" si="1"/>
        <v>Charlie</v>
      </c>
      <c r="F157" s="10" t="s">
        <v>36</v>
      </c>
      <c r="G157" s="9" t="s">
        <v>43</v>
      </c>
      <c r="H157" s="10" t="s">
        <v>101</v>
      </c>
      <c r="I157" s="10">
        <v>14</v>
      </c>
      <c r="J157" s="10">
        <v>423.19</v>
      </c>
      <c r="K157" s="10">
        <f t="shared" si="2"/>
        <v>5924.66</v>
      </c>
      <c r="L157" s="10" t="s">
        <v>184</v>
      </c>
      <c r="M157" s="10" t="str">
        <f t="shared" si="3"/>
        <v>CREDIT CARD</v>
      </c>
      <c r="N157" s="10" t="s">
        <v>75</v>
      </c>
      <c r="O157" s="10" t="str">
        <f t="shared" si="4"/>
        <v>Credit Card</v>
      </c>
      <c r="P157" s="10" t="s">
        <v>33</v>
      </c>
      <c r="Q157" s="10" t="str">
        <f t="shared" si="5"/>
        <v>Priority</v>
      </c>
    </row>
    <row r="158" spans="1:17" ht="14.25" customHeight="1">
      <c r="A158" s="8">
        <v>45354</v>
      </c>
      <c r="B158" s="10" t="str">
        <f t="shared" si="0"/>
        <v>SOUTH</v>
      </c>
      <c r="C158" s="10" t="s">
        <v>46</v>
      </c>
      <c r="D158" s="10" t="s">
        <v>87</v>
      </c>
      <c r="E158" s="10" t="str">
        <f t="shared" si="1"/>
        <v>Ethan</v>
      </c>
      <c r="F158" s="10" t="s">
        <v>36</v>
      </c>
      <c r="G158" s="10" t="s">
        <v>70</v>
      </c>
      <c r="H158" s="10" t="s">
        <v>106</v>
      </c>
      <c r="I158" s="10">
        <v>3</v>
      </c>
      <c r="J158" s="10">
        <v>388.94</v>
      </c>
      <c r="K158" s="10">
        <f t="shared" si="2"/>
        <v>1166.82</v>
      </c>
      <c r="L158" s="10" t="s">
        <v>170</v>
      </c>
      <c r="M158" s="10" t="str">
        <f t="shared" si="3"/>
        <v>BANK TRANSFER</v>
      </c>
      <c r="N158" s="10" t="s">
        <v>18</v>
      </c>
      <c r="O158" s="10" t="str">
        <f t="shared" si="4"/>
        <v>Bank Transfer</v>
      </c>
      <c r="P158" s="10" t="s">
        <v>83</v>
      </c>
      <c r="Q158" s="10" t="str">
        <f t="shared" si="5"/>
        <v>Check Stock</v>
      </c>
    </row>
    <row r="159" spans="1:17" ht="14.25" customHeight="1">
      <c r="A159" s="8">
        <v>45424</v>
      </c>
      <c r="B159" s="10" t="str">
        <f t="shared" si="0"/>
        <v>West</v>
      </c>
      <c r="C159" s="10" t="s">
        <v>54</v>
      </c>
      <c r="D159" s="10" t="s">
        <v>28</v>
      </c>
      <c r="E159" s="10" t="str">
        <f t="shared" si="1"/>
        <v>George</v>
      </c>
      <c r="F159" s="10" t="s">
        <v>47</v>
      </c>
      <c r="G159" s="9" t="s">
        <v>43</v>
      </c>
      <c r="H159" s="10" t="s">
        <v>183</v>
      </c>
      <c r="I159" s="10">
        <v>1</v>
      </c>
      <c r="J159" s="10">
        <v>37.65</v>
      </c>
      <c r="K159" s="10">
        <f t="shared" si="2"/>
        <v>37.65</v>
      </c>
      <c r="L159" s="10" t="s">
        <v>311</v>
      </c>
      <c r="M159" s="10" t="str">
        <f t="shared" si="3"/>
        <v>BANK TRANSFER</v>
      </c>
      <c r="N159" s="10" t="s">
        <v>18</v>
      </c>
      <c r="O159" s="10" t="str">
        <f t="shared" si="4"/>
        <v>Bank Transfer</v>
      </c>
      <c r="P159" s="9" t="s">
        <v>523</v>
      </c>
      <c r="Q159" s="9" t="str">
        <f t="shared" si="5"/>
        <v>No Comments</v>
      </c>
    </row>
    <row r="160" spans="1:17" ht="14.25" customHeight="1">
      <c r="A160" s="8">
        <v>45319</v>
      </c>
      <c r="B160" s="10" t="str">
        <f t="shared" si="0"/>
        <v>East</v>
      </c>
      <c r="C160" s="10" t="s">
        <v>146</v>
      </c>
      <c r="D160" s="10" t="s">
        <v>22</v>
      </c>
      <c r="E160" s="10" t="str">
        <f t="shared" si="1"/>
        <v>Bob</v>
      </c>
      <c r="F160" s="10" t="s">
        <v>50</v>
      </c>
      <c r="G160" s="9" t="s">
        <v>521</v>
      </c>
      <c r="H160" s="10" t="s">
        <v>63</v>
      </c>
      <c r="I160" s="10">
        <v>11</v>
      </c>
      <c r="J160" s="10">
        <v>499.21</v>
      </c>
      <c r="K160" s="10">
        <f t="shared" si="2"/>
        <v>5491.3099999999995</v>
      </c>
      <c r="L160" s="10" t="s">
        <v>82</v>
      </c>
      <c r="M160" s="10" t="str">
        <f t="shared" si="3"/>
        <v xml:space="preserve">MOBILE MONEY </v>
      </c>
      <c r="N160" s="10" t="s">
        <v>57</v>
      </c>
      <c r="O160" s="10" t="str">
        <f t="shared" si="4"/>
        <v xml:space="preserve">Mobile Money </v>
      </c>
      <c r="P160" s="10" t="s">
        <v>83</v>
      </c>
      <c r="Q160" s="10" t="str">
        <f t="shared" si="5"/>
        <v>Check Stock</v>
      </c>
    </row>
    <row r="161" spans="1:17" ht="14.25" customHeight="1">
      <c r="A161" s="8">
        <v>45404</v>
      </c>
      <c r="B161" s="10" t="str">
        <f t="shared" si="0"/>
        <v>South</v>
      </c>
      <c r="C161" s="10" t="s">
        <v>21</v>
      </c>
      <c r="D161" s="10" t="s">
        <v>28</v>
      </c>
      <c r="E161" s="10" t="str">
        <f t="shared" si="1"/>
        <v>George</v>
      </c>
      <c r="F161" s="10" t="s">
        <v>23</v>
      </c>
      <c r="G161" s="9" t="s">
        <v>37</v>
      </c>
      <c r="H161" s="10" t="s">
        <v>112</v>
      </c>
      <c r="I161" s="10">
        <v>12</v>
      </c>
      <c r="J161" s="10">
        <v>492.85</v>
      </c>
      <c r="K161" s="10">
        <f t="shared" si="2"/>
        <v>5914.2000000000007</v>
      </c>
      <c r="L161" s="10" t="s">
        <v>228</v>
      </c>
      <c r="M161" s="10" t="str">
        <f t="shared" si="3"/>
        <v>CREDIT CARD</v>
      </c>
      <c r="N161" s="10" t="s">
        <v>75</v>
      </c>
      <c r="O161" s="10" t="str">
        <f t="shared" si="4"/>
        <v>Credit Card</v>
      </c>
      <c r="P161" s="10" t="s">
        <v>19</v>
      </c>
      <c r="Q161" s="10" t="str">
        <f t="shared" si="5"/>
        <v>Double Entry</v>
      </c>
    </row>
    <row r="162" spans="1:17" ht="14.25" customHeight="1">
      <c r="A162" s="8">
        <v>45429</v>
      </c>
      <c r="B162" s="9" t="str">
        <f t="shared" si="0"/>
        <v>North</v>
      </c>
      <c r="C162" s="9" t="s">
        <v>12</v>
      </c>
      <c r="D162" s="10" t="s">
        <v>77</v>
      </c>
      <c r="E162" s="10" t="str">
        <f t="shared" si="1"/>
        <v>Diana</v>
      </c>
      <c r="F162" s="10" t="s">
        <v>36</v>
      </c>
      <c r="G162" s="9" t="s">
        <v>43</v>
      </c>
      <c r="H162" s="10" t="s">
        <v>273</v>
      </c>
      <c r="I162" s="10">
        <v>18</v>
      </c>
      <c r="J162" s="10">
        <v>74.11</v>
      </c>
      <c r="K162" s="10">
        <f t="shared" si="2"/>
        <v>1333.98</v>
      </c>
      <c r="L162" s="10" t="s">
        <v>315</v>
      </c>
      <c r="M162" s="10" t="str">
        <f t="shared" si="3"/>
        <v>MOBILE MONEY</v>
      </c>
      <c r="N162" s="10" t="s">
        <v>32</v>
      </c>
      <c r="O162" s="10" t="str">
        <f t="shared" si="4"/>
        <v>Mobile Money</v>
      </c>
      <c r="P162" s="10" t="s">
        <v>40</v>
      </c>
      <c r="Q162" s="10" t="str">
        <f t="shared" si="5"/>
        <v>Urgent</v>
      </c>
    </row>
    <row r="163" spans="1:17" ht="14.25" customHeight="1">
      <c r="A163" s="8">
        <v>45300</v>
      </c>
      <c r="B163" s="9" t="str">
        <f t="shared" si="0"/>
        <v>Unknow</v>
      </c>
      <c r="C163" s="9" t="s">
        <v>522</v>
      </c>
      <c r="D163" s="10" t="s">
        <v>62</v>
      </c>
      <c r="E163" s="10" t="str">
        <f t="shared" si="1"/>
        <v>Hannah</v>
      </c>
      <c r="F163" s="10" t="s">
        <v>14</v>
      </c>
      <c r="G163" s="9" t="s">
        <v>43</v>
      </c>
      <c r="H163" s="10" t="s">
        <v>63</v>
      </c>
      <c r="I163" s="10">
        <v>6</v>
      </c>
      <c r="J163" s="10">
        <v>65.92</v>
      </c>
      <c r="K163" s="10">
        <f t="shared" si="2"/>
        <v>395.52</v>
      </c>
      <c r="L163" s="10" t="s">
        <v>172</v>
      </c>
      <c r="M163" s="10" t="str">
        <f t="shared" si="3"/>
        <v>BANK TRANSFER</v>
      </c>
      <c r="N163" s="10" t="s">
        <v>18</v>
      </c>
      <c r="O163" s="10" t="str">
        <f t="shared" si="4"/>
        <v>Bank Transfer</v>
      </c>
      <c r="P163" s="9" t="s">
        <v>523</v>
      </c>
      <c r="Q163" s="9" t="str">
        <f t="shared" si="5"/>
        <v>No Comments</v>
      </c>
    </row>
    <row r="164" spans="1:17" ht="14.25" customHeight="1">
      <c r="A164" s="8">
        <v>45350</v>
      </c>
      <c r="B164" s="10" t="str">
        <f t="shared" si="0"/>
        <v>South</v>
      </c>
      <c r="C164" s="10" t="s">
        <v>21</v>
      </c>
      <c r="D164" s="10" t="s">
        <v>28</v>
      </c>
      <c r="E164" s="10" t="str">
        <f t="shared" si="1"/>
        <v>George</v>
      </c>
      <c r="F164" s="10" t="s">
        <v>14</v>
      </c>
      <c r="G164" s="10" t="s">
        <v>24</v>
      </c>
      <c r="H164" s="10" t="s">
        <v>101</v>
      </c>
      <c r="I164" s="10">
        <v>20</v>
      </c>
      <c r="J164" s="10">
        <v>425.09</v>
      </c>
      <c r="K164" s="10">
        <f t="shared" si="2"/>
        <v>8501.7999999999993</v>
      </c>
      <c r="L164" s="10" t="s">
        <v>211</v>
      </c>
      <c r="M164" s="9" t="str">
        <f t="shared" si="3"/>
        <v>UNKONWN</v>
      </c>
      <c r="N164" s="9" t="s">
        <v>521</v>
      </c>
      <c r="O164" s="9" t="str">
        <f t="shared" si="4"/>
        <v>Unkonwn</v>
      </c>
      <c r="P164" s="10" t="s">
        <v>52</v>
      </c>
      <c r="Q164" s="10" t="str">
        <f t="shared" si="5"/>
        <v>Follow Up</v>
      </c>
    </row>
    <row r="165" spans="1:17" ht="14.25" customHeight="1">
      <c r="A165" s="8">
        <v>45543</v>
      </c>
      <c r="B165" s="10" t="str">
        <f t="shared" si="0"/>
        <v>South</v>
      </c>
      <c r="C165" s="10" t="s">
        <v>21</v>
      </c>
      <c r="D165" s="10" t="s">
        <v>77</v>
      </c>
      <c r="E165" s="10" t="str">
        <f t="shared" si="1"/>
        <v>Diana</v>
      </c>
      <c r="F165" s="10" t="s">
        <v>47</v>
      </c>
      <c r="G165" s="9" t="s">
        <v>37</v>
      </c>
      <c r="H165" s="10" t="s">
        <v>25</v>
      </c>
      <c r="I165" s="10">
        <v>16</v>
      </c>
      <c r="J165" s="10">
        <v>395.11</v>
      </c>
      <c r="K165" s="10">
        <f t="shared" si="2"/>
        <v>6321.76</v>
      </c>
      <c r="L165" s="10" t="s">
        <v>318</v>
      </c>
      <c r="M165" s="10" t="str">
        <f t="shared" si="3"/>
        <v>BANK TRANSFER</v>
      </c>
      <c r="N165" s="10" t="s">
        <v>18</v>
      </c>
      <c r="O165" s="10" t="str">
        <f t="shared" si="4"/>
        <v>Bank Transfer</v>
      </c>
      <c r="P165" s="10" t="s">
        <v>19</v>
      </c>
      <c r="Q165" s="10" t="str">
        <f t="shared" si="5"/>
        <v>Double Entry</v>
      </c>
    </row>
    <row r="166" spans="1:17" ht="14.25" customHeight="1">
      <c r="A166" s="8">
        <v>45350</v>
      </c>
      <c r="B166" s="9" t="str">
        <f t="shared" si="0"/>
        <v>North</v>
      </c>
      <c r="C166" s="9" t="s">
        <v>12</v>
      </c>
      <c r="D166" s="10" t="s">
        <v>22</v>
      </c>
      <c r="E166" s="10" t="str">
        <f t="shared" si="1"/>
        <v>Bob</v>
      </c>
      <c r="F166" s="10" t="s">
        <v>36</v>
      </c>
      <c r="G166" s="9" t="s">
        <v>521</v>
      </c>
      <c r="H166" s="10" t="s">
        <v>30</v>
      </c>
      <c r="I166" s="10">
        <v>8</v>
      </c>
      <c r="J166" s="10">
        <v>240.29</v>
      </c>
      <c r="K166" s="10">
        <f t="shared" si="2"/>
        <v>1922.32</v>
      </c>
      <c r="L166" s="10" t="s">
        <v>245</v>
      </c>
      <c r="M166" s="10" t="str">
        <f t="shared" si="3"/>
        <v xml:space="preserve">MOBILE MONEY </v>
      </c>
      <c r="N166" s="10" t="s">
        <v>57</v>
      </c>
      <c r="O166" s="10" t="str">
        <f t="shared" si="4"/>
        <v xml:space="preserve">Mobile Money </v>
      </c>
      <c r="P166" s="10" t="s">
        <v>40</v>
      </c>
      <c r="Q166" s="10" t="str">
        <f t="shared" si="5"/>
        <v>Urgent</v>
      </c>
    </row>
    <row r="167" spans="1:17" ht="14.25" customHeight="1">
      <c r="A167" s="8">
        <v>45590</v>
      </c>
      <c r="B167" s="9" t="str">
        <f t="shared" si="0"/>
        <v>North</v>
      </c>
      <c r="C167" s="9" t="s">
        <v>12</v>
      </c>
      <c r="D167" s="10" t="s">
        <v>42</v>
      </c>
      <c r="E167" s="10" t="str">
        <f t="shared" si="1"/>
        <v>Alice</v>
      </c>
      <c r="F167" s="10" t="s">
        <v>47</v>
      </c>
      <c r="G167" s="10" t="s">
        <v>70</v>
      </c>
      <c r="H167" s="10" t="s">
        <v>25</v>
      </c>
      <c r="I167" s="10">
        <v>20</v>
      </c>
      <c r="J167" s="10">
        <v>153.66999999999999</v>
      </c>
      <c r="K167" s="10">
        <f t="shared" si="2"/>
        <v>3073.3999999999996</v>
      </c>
      <c r="L167" s="10" t="s">
        <v>297</v>
      </c>
      <c r="M167" s="10" t="str">
        <f t="shared" si="3"/>
        <v>CASH</v>
      </c>
      <c r="N167" s="10" t="s">
        <v>93</v>
      </c>
      <c r="O167" s="10" t="str">
        <f t="shared" si="4"/>
        <v>Cash</v>
      </c>
      <c r="P167" s="10" t="s">
        <v>33</v>
      </c>
      <c r="Q167" s="10" t="str">
        <f t="shared" si="5"/>
        <v>Priority</v>
      </c>
    </row>
    <row r="168" spans="1:17" ht="14.25" customHeight="1">
      <c r="A168" s="8">
        <v>45584</v>
      </c>
      <c r="B168" s="10" t="str">
        <f t="shared" si="0"/>
        <v>East</v>
      </c>
      <c r="C168" s="10" t="s">
        <v>146</v>
      </c>
      <c r="D168" s="10" t="s">
        <v>28</v>
      </c>
      <c r="E168" s="10" t="str">
        <f t="shared" si="1"/>
        <v>George</v>
      </c>
      <c r="F168" s="10" t="s">
        <v>23</v>
      </c>
      <c r="G168" s="10" t="s">
        <v>70</v>
      </c>
      <c r="H168" s="10" t="s">
        <v>101</v>
      </c>
      <c r="I168" s="10">
        <v>14</v>
      </c>
      <c r="J168" s="10">
        <v>432.49</v>
      </c>
      <c r="K168" s="10">
        <f t="shared" si="2"/>
        <v>6054.8600000000006</v>
      </c>
      <c r="L168" s="10" t="s">
        <v>321</v>
      </c>
      <c r="M168" s="9" t="str">
        <f t="shared" si="3"/>
        <v>UNKONWN</v>
      </c>
      <c r="N168" s="9" t="s">
        <v>521</v>
      </c>
      <c r="O168" s="9" t="str">
        <f t="shared" si="4"/>
        <v>Unkonwn</v>
      </c>
      <c r="P168" s="9" t="s">
        <v>523</v>
      </c>
      <c r="Q168" s="9" t="str">
        <f t="shared" si="5"/>
        <v>No Comments</v>
      </c>
    </row>
    <row r="169" spans="1:17" ht="14.25" customHeight="1">
      <c r="A169" s="8">
        <v>45312</v>
      </c>
      <c r="B169" s="9" t="str">
        <f t="shared" si="0"/>
        <v>North</v>
      </c>
      <c r="C169" s="9" t="s">
        <v>12</v>
      </c>
      <c r="D169" s="10" t="s">
        <v>62</v>
      </c>
      <c r="E169" s="10" t="str">
        <f t="shared" si="1"/>
        <v>Hannah</v>
      </c>
      <c r="F169" s="10" t="s">
        <v>23</v>
      </c>
      <c r="G169" s="9" t="s">
        <v>37</v>
      </c>
      <c r="H169" s="10" t="s">
        <v>25</v>
      </c>
      <c r="I169" s="10">
        <v>7</v>
      </c>
      <c r="J169" s="10">
        <v>495.86</v>
      </c>
      <c r="K169" s="10">
        <f t="shared" si="2"/>
        <v>3471.02</v>
      </c>
      <c r="L169" s="10" t="s">
        <v>323</v>
      </c>
      <c r="M169" s="10" t="str">
        <f t="shared" si="3"/>
        <v>CREDIT CARD</v>
      </c>
      <c r="N169" s="10" t="s">
        <v>75</v>
      </c>
      <c r="O169" s="10" t="str">
        <f t="shared" si="4"/>
        <v>Credit Card</v>
      </c>
      <c r="P169" s="10" t="s">
        <v>52</v>
      </c>
      <c r="Q169" s="10" t="str">
        <f t="shared" si="5"/>
        <v>Follow Up</v>
      </c>
    </row>
    <row r="170" spans="1:17" ht="14.25" customHeight="1">
      <c r="A170" s="8">
        <v>45303</v>
      </c>
      <c r="B170" s="10" t="str">
        <f t="shared" si="0"/>
        <v>SOUTH</v>
      </c>
      <c r="C170" s="10" t="s">
        <v>46</v>
      </c>
      <c r="D170" s="10" t="s">
        <v>13</v>
      </c>
      <c r="E170" s="10" t="str">
        <f t="shared" si="1"/>
        <v>Faith</v>
      </c>
      <c r="F170" s="10" t="s">
        <v>14</v>
      </c>
      <c r="G170" s="9" t="s">
        <v>43</v>
      </c>
      <c r="H170" s="10" t="s">
        <v>101</v>
      </c>
      <c r="I170" s="10">
        <v>1</v>
      </c>
      <c r="J170" s="10">
        <v>189.89</v>
      </c>
      <c r="K170" s="10">
        <f t="shared" si="2"/>
        <v>189.89</v>
      </c>
      <c r="L170" s="10" t="s">
        <v>121</v>
      </c>
      <c r="M170" s="10" t="str">
        <f t="shared" si="3"/>
        <v>BANK TRANSFER</v>
      </c>
      <c r="N170" s="10" t="s">
        <v>18</v>
      </c>
      <c r="O170" s="10" t="str">
        <f t="shared" si="4"/>
        <v>Bank Transfer</v>
      </c>
      <c r="P170" s="10" t="s">
        <v>19</v>
      </c>
      <c r="Q170" s="10" t="str">
        <f t="shared" si="5"/>
        <v>Double Entry</v>
      </c>
    </row>
    <row r="171" spans="1:17" ht="14.25" customHeight="1">
      <c r="A171" s="8">
        <v>45439</v>
      </c>
      <c r="B171" s="10" t="str">
        <f t="shared" si="0"/>
        <v>SOUTH</v>
      </c>
      <c r="C171" s="10" t="s">
        <v>46</v>
      </c>
      <c r="D171" s="10" t="s">
        <v>87</v>
      </c>
      <c r="E171" s="10" t="str">
        <f t="shared" si="1"/>
        <v>Ethan</v>
      </c>
      <c r="F171" s="10" t="s">
        <v>23</v>
      </c>
      <c r="G171" s="9" t="s">
        <v>521</v>
      </c>
      <c r="H171" s="10" t="s">
        <v>117</v>
      </c>
      <c r="I171" s="10">
        <v>7</v>
      </c>
      <c r="J171" s="10">
        <v>42</v>
      </c>
      <c r="K171" s="10">
        <f t="shared" si="2"/>
        <v>294</v>
      </c>
      <c r="L171" s="10" t="s">
        <v>326</v>
      </c>
      <c r="M171" s="9" t="str">
        <f t="shared" si="3"/>
        <v>UNKONWN</v>
      </c>
      <c r="N171" s="9" t="s">
        <v>521</v>
      </c>
      <c r="O171" s="9" t="str">
        <f t="shared" si="4"/>
        <v>Unkonwn</v>
      </c>
      <c r="P171" s="10" t="s">
        <v>19</v>
      </c>
      <c r="Q171" s="10" t="str">
        <f t="shared" si="5"/>
        <v>Double Entry</v>
      </c>
    </row>
    <row r="172" spans="1:17" ht="14.25" customHeight="1">
      <c r="A172" s="8">
        <v>45330</v>
      </c>
      <c r="B172" s="10" t="str">
        <f t="shared" si="0"/>
        <v>South</v>
      </c>
      <c r="C172" s="10" t="s">
        <v>21</v>
      </c>
      <c r="D172" s="10" t="s">
        <v>87</v>
      </c>
      <c r="E172" s="10" t="str">
        <f t="shared" si="1"/>
        <v>Ethan</v>
      </c>
      <c r="F172" s="10" t="s">
        <v>50</v>
      </c>
      <c r="G172" s="9" t="s">
        <v>37</v>
      </c>
      <c r="H172" s="10" t="s">
        <v>67</v>
      </c>
      <c r="I172" s="10">
        <v>8</v>
      </c>
      <c r="J172" s="10">
        <v>243.75</v>
      </c>
      <c r="K172" s="10">
        <f t="shared" si="2"/>
        <v>1950</v>
      </c>
      <c r="L172" s="10" t="s">
        <v>138</v>
      </c>
      <c r="M172" s="10" t="str">
        <f t="shared" si="3"/>
        <v xml:space="preserve">MOBILE MONEY </v>
      </c>
      <c r="N172" s="10" t="s">
        <v>57</v>
      </c>
      <c r="O172" s="10" t="str">
        <f t="shared" si="4"/>
        <v xml:space="preserve">Mobile Money </v>
      </c>
      <c r="P172" s="10" t="s">
        <v>83</v>
      </c>
      <c r="Q172" s="10" t="str">
        <f t="shared" si="5"/>
        <v>Check Stock</v>
      </c>
    </row>
    <row r="173" spans="1:17" ht="14.25" customHeight="1">
      <c r="A173" s="8">
        <v>45401</v>
      </c>
      <c r="B173" s="9" t="str">
        <f t="shared" si="0"/>
        <v>North</v>
      </c>
      <c r="C173" s="9" t="s">
        <v>12</v>
      </c>
      <c r="D173" s="10" t="s">
        <v>59</v>
      </c>
      <c r="E173" s="10" t="str">
        <f t="shared" si="1"/>
        <v>Charlie</v>
      </c>
      <c r="F173" s="10" t="s">
        <v>36</v>
      </c>
      <c r="G173" s="9" t="s">
        <v>37</v>
      </c>
      <c r="H173" s="10" t="s">
        <v>67</v>
      </c>
      <c r="I173" s="10">
        <v>17</v>
      </c>
      <c r="J173" s="10">
        <v>425.18</v>
      </c>
      <c r="K173" s="10">
        <f t="shared" si="2"/>
        <v>7228.06</v>
      </c>
      <c r="L173" s="10" t="s">
        <v>328</v>
      </c>
      <c r="M173" s="10" t="str">
        <f t="shared" si="3"/>
        <v xml:space="preserve">MOBILE MONEY </v>
      </c>
      <c r="N173" s="10" t="s">
        <v>57</v>
      </c>
      <c r="O173" s="10" t="str">
        <f t="shared" si="4"/>
        <v xml:space="preserve">Mobile Money </v>
      </c>
      <c r="P173" s="9" t="s">
        <v>523</v>
      </c>
      <c r="Q173" s="9" t="str">
        <f t="shared" si="5"/>
        <v>No Comments</v>
      </c>
    </row>
    <row r="174" spans="1:17" ht="14.25" customHeight="1">
      <c r="A174" s="8">
        <v>45499</v>
      </c>
      <c r="B174" s="10" t="str">
        <f t="shared" si="0"/>
        <v>West</v>
      </c>
      <c r="C174" s="10" t="s">
        <v>54</v>
      </c>
      <c r="D174" s="10" t="s">
        <v>87</v>
      </c>
      <c r="E174" s="10" t="str">
        <f t="shared" si="1"/>
        <v>Ethan</v>
      </c>
      <c r="F174" s="10" t="s">
        <v>23</v>
      </c>
      <c r="G174" s="9" t="s">
        <v>37</v>
      </c>
      <c r="H174" s="10" t="s">
        <v>183</v>
      </c>
      <c r="I174" s="10">
        <v>2</v>
      </c>
      <c r="J174" s="10">
        <v>323.5</v>
      </c>
      <c r="K174" s="10">
        <f t="shared" si="2"/>
        <v>647</v>
      </c>
      <c r="L174" s="10" t="s">
        <v>329</v>
      </c>
      <c r="M174" s="10" t="str">
        <f t="shared" si="3"/>
        <v>CASH</v>
      </c>
      <c r="N174" s="10" t="s">
        <v>65</v>
      </c>
      <c r="O174" s="10" t="str">
        <f t="shared" si="4"/>
        <v>Cash</v>
      </c>
      <c r="P174" s="10" t="s">
        <v>52</v>
      </c>
      <c r="Q174" s="10" t="str">
        <f t="shared" si="5"/>
        <v>Follow Up</v>
      </c>
    </row>
    <row r="175" spans="1:17" ht="14.25" customHeight="1">
      <c r="A175" s="8">
        <v>45411</v>
      </c>
      <c r="B175" s="9" t="str">
        <f t="shared" si="0"/>
        <v>Unknow</v>
      </c>
      <c r="C175" s="9" t="s">
        <v>522</v>
      </c>
      <c r="D175" s="10" t="s">
        <v>87</v>
      </c>
      <c r="E175" s="10" t="str">
        <f t="shared" si="1"/>
        <v>Ethan</v>
      </c>
      <c r="F175" s="10" t="s">
        <v>29</v>
      </c>
      <c r="G175" s="10" t="s">
        <v>70</v>
      </c>
      <c r="H175" s="10" t="s">
        <v>16</v>
      </c>
      <c r="I175" s="10">
        <v>2</v>
      </c>
      <c r="J175" s="10">
        <v>252.84</v>
      </c>
      <c r="K175" s="10">
        <f t="shared" si="2"/>
        <v>505.68</v>
      </c>
      <c r="L175" s="10" t="s">
        <v>331</v>
      </c>
      <c r="M175" s="10" t="str">
        <f t="shared" si="3"/>
        <v xml:space="preserve">MOBILE MONEY </v>
      </c>
      <c r="N175" s="10" t="s">
        <v>57</v>
      </c>
      <c r="O175" s="10" t="str">
        <f t="shared" si="4"/>
        <v xml:space="preserve">Mobile Money </v>
      </c>
      <c r="P175" s="10" t="s">
        <v>40</v>
      </c>
      <c r="Q175" s="10" t="str">
        <f t="shared" si="5"/>
        <v>Urgent</v>
      </c>
    </row>
    <row r="176" spans="1:17" ht="14.25" customHeight="1">
      <c r="A176" s="8">
        <v>45372</v>
      </c>
      <c r="B176" s="9" t="str">
        <f t="shared" si="0"/>
        <v>North</v>
      </c>
      <c r="C176" s="9" t="s">
        <v>12</v>
      </c>
      <c r="D176" s="10" t="s">
        <v>42</v>
      </c>
      <c r="E176" s="10" t="str">
        <f t="shared" si="1"/>
        <v>Alice</v>
      </c>
      <c r="F176" s="10" t="s">
        <v>29</v>
      </c>
      <c r="G176" s="10" t="s">
        <v>70</v>
      </c>
      <c r="H176" s="10" t="s">
        <v>88</v>
      </c>
      <c r="I176" s="10">
        <v>16</v>
      </c>
      <c r="J176" s="10">
        <v>43.21</v>
      </c>
      <c r="K176" s="10">
        <f t="shared" si="2"/>
        <v>691.36</v>
      </c>
      <c r="L176" s="10" t="s">
        <v>332</v>
      </c>
      <c r="M176" s="10" t="str">
        <f t="shared" si="3"/>
        <v>BANK TRANSFER</v>
      </c>
      <c r="N176" s="10" t="s">
        <v>18</v>
      </c>
      <c r="O176" s="10" t="str">
        <f t="shared" si="4"/>
        <v>Bank Transfer</v>
      </c>
      <c r="P176" s="9" t="s">
        <v>523</v>
      </c>
      <c r="Q176" s="9" t="str">
        <f t="shared" si="5"/>
        <v>No Comments</v>
      </c>
    </row>
    <row r="177" spans="1:17" ht="14.25" customHeight="1">
      <c r="A177" s="8">
        <v>45585</v>
      </c>
      <c r="B177" s="10" t="str">
        <f t="shared" si="0"/>
        <v>West</v>
      </c>
      <c r="C177" s="10" t="s">
        <v>54</v>
      </c>
      <c r="D177" s="10" t="s">
        <v>13</v>
      </c>
      <c r="E177" s="10" t="str">
        <f t="shared" si="1"/>
        <v>Faith</v>
      </c>
      <c r="F177" s="10" t="s">
        <v>50</v>
      </c>
      <c r="G177" s="9" t="s">
        <v>521</v>
      </c>
      <c r="H177" s="10" t="s">
        <v>213</v>
      </c>
      <c r="I177" s="10">
        <v>5</v>
      </c>
      <c r="J177" s="10">
        <v>76.98</v>
      </c>
      <c r="K177" s="10">
        <f t="shared" si="2"/>
        <v>384.90000000000003</v>
      </c>
      <c r="L177" s="10" t="s">
        <v>333</v>
      </c>
      <c r="M177" s="10" t="str">
        <f t="shared" si="3"/>
        <v>CASH</v>
      </c>
      <c r="N177" s="10" t="s">
        <v>65</v>
      </c>
      <c r="O177" s="10" t="str">
        <f t="shared" si="4"/>
        <v>Cash</v>
      </c>
      <c r="P177" s="9" t="s">
        <v>523</v>
      </c>
      <c r="Q177" s="9" t="str">
        <f t="shared" si="5"/>
        <v>No Comments</v>
      </c>
    </row>
    <row r="178" spans="1:17" ht="14.25" customHeight="1">
      <c r="A178" s="8">
        <v>45592</v>
      </c>
      <c r="B178" s="9" t="str">
        <f t="shared" si="0"/>
        <v>North</v>
      </c>
      <c r="C178" s="9" t="s">
        <v>12</v>
      </c>
      <c r="D178" s="10" t="s">
        <v>42</v>
      </c>
      <c r="E178" s="10" t="str">
        <f t="shared" si="1"/>
        <v>Alice</v>
      </c>
      <c r="F178" s="10" t="s">
        <v>14</v>
      </c>
      <c r="G178" s="9" t="s">
        <v>15</v>
      </c>
      <c r="H178" s="10" t="s">
        <v>88</v>
      </c>
      <c r="I178" s="10">
        <v>4</v>
      </c>
      <c r="J178" s="10">
        <v>258.22000000000003</v>
      </c>
      <c r="K178" s="10">
        <f t="shared" si="2"/>
        <v>1032.8800000000001</v>
      </c>
      <c r="L178" s="10" t="s">
        <v>335</v>
      </c>
      <c r="M178" s="10" t="str">
        <f t="shared" si="3"/>
        <v xml:space="preserve">MOBILE MONEY </v>
      </c>
      <c r="N178" s="10" t="s">
        <v>57</v>
      </c>
      <c r="O178" s="10" t="str">
        <f t="shared" si="4"/>
        <v xml:space="preserve">Mobile Money </v>
      </c>
      <c r="P178" s="10" t="s">
        <v>40</v>
      </c>
      <c r="Q178" s="10" t="str">
        <f t="shared" si="5"/>
        <v>Urgent</v>
      </c>
    </row>
    <row r="179" spans="1:17" ht="14.25" customHeight="1">
      <c r="A179" s="8">
        <v>45327</v>
      </c>
      <c r="B179" s="10" t="str">
        <f t="shared" si="0"/>
        <v>East</v>
      </c>
      <c r="C179" s="10" t="s">
        <v>35</v>
      </c>
      <c r="D179" s="10" t="s">
        <v>42</v>
      </c>
      <c r="E179" s="10" t="str">
        <f t="shared" si="1"/>
        <v>Alice</v>
      </c>
      <c r="F179" s="10" t="s">
        <v>14</v>
      </c>
      <c r="G179" s="9" t="s">
        <v>43</v>
      </c>
      <c r="H179" s="10" t="s">
        <v>16</v>
      </c>
      <c r="I179" s="10">
        <v>17</v>
      </c>
      <c r="J179" s="10">
        <v>161.44</v>
      </c>
      <c r="K179" s="10">
        <f t="shared" si="2"/>
        <v>2744.48</v>
      </c>
      <c r="L179" s="10" t="s">
        <v>337</v>
      </c>
      <c r="M179" s="10" t="str">
        <f t="shared" si="3"/>
        <v>MOBILE MONEY</v>
      </c>
      <c r="N179" s="10" t="s">
        <v>32</v>
      </c>
      <c r="O179" s="10" t="str">
        <f t="shared" si="4"/>
        <v>Mobile Money</v>
      </c>
      <c r="P179" s="9" t="s">
        <v>523</v>
      </c>
      <c r="Q179" s="9" t="str">
        <f t="shared" si="5"/>
        <v>No Comments</v>
      </c>
    </row>
    <row r="180" spans="1:17" ht="14.25" customHeight="1">
      <c r="A180" s="8">
        <v>45425</v>
      </c>
      <c r="B180" s="10" t="str">
        <f t="shared" si="0"/>
        <v>East</v>
      </c>
      <c r="C180" s="10" t="s">
        <v>146</v>
      </c>
      <c r="D180" s="10" t="s">
        <v>28</v>
      </c>
      <c r="E180" s="10" t="str">
        <f t="shared" si="1"/>
        <v>George</v>
      </c>
      <c r="F180" s="10" t="s">
        <v>47</v>
      </c>
      <c r="G180" s="10" t="s">
        <v>24</v>
      </c>
      <c r="H180" s="10" t="s">
        <v>183</v>
      </c>
      <c r="I180" s="10">
        <v>6</v>
      </c>
      <c r="J180" s="10">
        <v>147.25</v>
      </c>
      <c r="K180" s="10">
        <f t="shared" si="2"/>
        <v>883.5</v>
      </c>
      <c r="L180" s="10" t="s">
        <v>339</v>
      </c>
      <c r="M180" s="10" t="str">
        <f t="shared" si="3"/>
        <v xml:space="preserve">MOBILE MONEY </v>
      </c>
      <c r="N180" s="10" t="s">
        <v>57</v>
      </c>
      <c r="O180" s="10" t="str">
        <f t="shared" si="4"/>
        <v xml:space="preserve">Mobile Money </v>
      </c>
      <c r="P180" s="10" t="s">
        <v>83</v>
      </c>
      <c r="Q180" s="10" t="str">
        <f t="shared" si="5"/>
        <v>Check Stock</v>
      </c>
    </row>
    <row r="181" spans="1:17" ht="14.25" customHeight="1">
      <c r="A181" s="8">
        <v>45441</v>
      </c>
      <c r="B181" s="9" t="str">
        <f t="shared" si="0"/>
        <v>North</v>
      </c>
      <c r="C181" s="9" t="s">
        <v>12</v>
      </c>
      <c r="D181" s="10" t="s">
        <v>13</v>
      </c>
      <c r="E181" s="10" t="str">
        <f t="shared" si="1"/>
        <v>Faith</v>
      </c>
      <c r="F181" s="10" t="s">
        <v>50</v>
      </c>
      <c r="G181" s="9" t="s">
        <v>15</v>
      </c>
      <c r="H181" s="10" t="s">
        <v>55</v>
      </c>
      <c r="I181" s="10">
        <v>4</v>
      </c>
      <c r="J181" s="10">
        <v>192.96</v>
      </c>
      <c r="K181" s="10">
        <f t="shared" si="2"/>
        <v>771.84</v>
      </c>
      <c r="L181" s="10" t="s">
        <v>341</v>
      </c>
      <c r="M181" s="10" t="str">
        <f t="shared" si="3"/>
        <v>BANK TRANSFER</v>
      </c>
      <c r="N181" s="10" t="s">
        <v>18</v>
      </c>
      <c r="O181" s="10" t="str">
        <f t="shared" si="4"/>
        <v>Bank Transfer</v>
      </c>
      <c r="P181" s="10" t="s">
        <v>52</v>
      </c>
      <c r="Q181" s="10" t="str">
        <f t="shared" si="5"/>
        <v>Follow Up</v>
      </c>
    </row>
    <row r="182" spans="1:17" ht="14.25" customHeight="1">
      <c r="A182" s="8">
        <v>45537</v>
      </c>
      <c r="B182" s="9" t="str">
        <f t="shared" si="0"/>
        <v>North</v>
      </c>
      <c r="C182" s="9" t="s">
        <v>12</v>
      </c>
      <c r="D182" s="10" t="s">
        <v>22</v>
      </c>
      <c r="E182" s="10" t="str">
        <f t="shared" si="1"/>
        <v>Bob</v>
      </c>
      <c r="F182" s="10" t="s">
        <v>29</v>
      </c>
      <c r="G182" s="9" t="s">
        <v>43</v>
      </c>
      <c r="H182" s="10" t="s">
        <v>16</v>
      </c>
      <c r="I182" s="10">
        <v>10</v>
      </c>
      <c r="J182" s="10">
        <v>37.409999999999997</v>
      </c>
      <c r="K182" s="10">
        <f t="shared" si="2"/>
        <v>374.09999999999997</v>
      </c>
      <c r="L182" s="10" t="s">
        <v>342</v>
      </c>
      <c r="M182" s="10" t="str">
        <f t="shared" si="3"/>
        <v>MOBILE MONEY</v>
      </c>
      <c r="N182" s="10" t="s">
        <v>32</v>
      </c>
      <c r="O182" s="10" t="str">
        <f t="shared" si="4"/>
        <v>Mobile Money</v>
      </c>
      <c r="P182" s="10" t="s">
        <v>40</v>
      </c>
      <c r="Q182" s="10" t="str">
        <f t="shared" si="5"/>
        <v>Urgent</v>
      </c>
    </row>
    <row r="183" spans="1:17" ht="14.25" customHeight="1">
      <c r="A183" s="8">
        <v>45491</v>
      </c>
      <c r="B183" s="10" t="str">
        <f t="shared" si="0"/>
        <v>West</v>
      </c>
      <c r="C183" s="10" t="s">
        <v>54</v>
      </c>
      <c r="D183" s="10" t="s">
        <v>28</v>
      </c>
      <c r="E183" s="10" t="str">
        <f t="shared" si="1"/>
        <v>George</v>
      </c>
      <c r="F183" s="10" t="s">
        <v>50</v>
      </c>
      <c r="G183" s="9" t="s">
        <v>43</v>
      </c>
      <c r="H183" s="10" t="s">
        <v>101</v>
      </c>
      <c r="I183" s="10">
        <v>2</v>
      </c>
      <c r="J183" s="10">
        <v>277.47000000000003</v>
      </c>
      <c r="K183" s="10">
        <f t="shared" si="2"/>
        <v>554.94000000000005</v>
      </c>
      <c r="L183" s="10" t="s">
        <v>160</v>
      </c>
      <c r="M183" s="10" t="str">
        <f t="shared" si="3"/>
        <v>BANK TRANSFER</v>
      </c>
      <c r="N183" s="10" t="s">
        <v>18</v>
      </c>
      <c r="O183" s="10" t="str">
        <f t="shared" si="4"/>
        <v>Bank Transfer</v>
      </c>
      <c r="P183" s="10" t="s">
        <v>33</v>
      </c>
      <c r="Q183" s="10" t="str">
        <f t="shared" si="5"/>
        <v>Priority</v>
      </c>
    </row>
    <row r="184" spans="1:17" ht="14.25" customHeight="1">
      <c r="A184" s="8">
        <v>45310</v>
      </c>
      <c r="B184" s="9" t="str">
        <f t="shared" si="0"/>
        <v>North</v>
      </c>
      <c r="C184" s="9" t="s">
        <v>12</v>
      </c>
      <c r="D184" s="10" t="s">
        <v>77</v>
      </c>
      <c r="E184" s="10" t="str">
        <f t="shared" si="1"/>
        <v>Diana</v>
      </c>
      <c r="F184" s="10" t="s">
        <v>23</v>
      </c>
      <c r="G184" s="9" t="s">
        <v>521</v>
      </c>
      <c r="H184" s="10" t="s">
        <v>106</v>
      </c>
      <c r="I184" s="10">
        <v>7</v>
      </c>
      <c r="J184" s="10">
        <v>484.71</v>
      </c>
      <c r="K184" s="10">
        <f t="shared" si="2"/>
        <v>3392.97</v>
      </c>
      <c r="L184" s="10" t="s">
        <v>344</v>
      </c>
      <c r="M184" s="10" t="str">
        <f t="shared" si="3"/>
        <v xml:space="preserve">MOBILE MONEY </v>
      </c>
      <c r="N184" s="10" t="s">
        <v>57</v>
      </c>
      <c r="O184" s="10" t="str">
        <f t="shared" si="4"/>
        <v xml:space="preserve">Mobile Money </v>
      </c>
      <c r="P184" s="10" t="s">
        <v>52</v>
      </c>
      <c r="Q184" s="10" t="str">
        <f t="shared" si="5"/>
        <v>Follow Up</v>
      </c>
    </row>
    <row r="185" spans="1:17" ht="14.25" customHeight="1">
      <c r="A185" s="8">
        <v>45370</v>
      </c>
      <c r="B185" s="9" t="str">
        <f t="shared" si="0"/>
        <v>North</v>
      </c>
      <c r="C185" s="9" t="s">
        <v>12</v>
      </c>
      <c r="D185" s="10" t="s">
        <v>13</v>
      </c>
      <c r="E185" s="10" t="str">
        <f t="shared" si="1"/>
        <v>Faith</v>
      </c>
      <c r="F185" s="10" t="s">
        <v>29</v>
      </c>
      <c r="G185" s="9" t="s">
        <v>43</v>
      </c>
      <c r="H185" s="10" t="s">
        <v>183</v>
      </c>
      <c r="I185" s="10">
        <v>7</v>
      </c>
      <c r="J185" s="10">
        <v>114.16</v>
      </c>
      <c r="K185" s="10">
        <f t="shared" si="2"/>
        <v>799.12</v>
      </c>
      <c r="L185" s="10" t="s">
        <v>291</v>
      </c>
      <c r="M185" s="10" t="str">
        <f t="shared" si="3"/>
        <v>CREDIT CARD</v>
      </c>
      <c r="N185" s="10" t="s">
        <v>75</v>
      </c>
      <c r="O185" s="10" t="str">
        <f t="shared" si="4"/>
        <v>Credit Card</v>
      </c>
      <c r="P185" s="9" t="s">
        <v>523</v>
      </c>
      <c r="Q185" s="9" t="str">
        <f t="shared" si="5"/>
        <v>No Comments</v>
      </c>
    </row>
    <row r="186" spans="1:17" ht="14.25" customHeight="1">
      <c r="A186" s="8">
        <v>45335</v>
      </c>
      <c r="B186" s="10" t="str">
        <f t="shared" si="0"/>
        <v>West</v>
      </c>
      <c r="C186" s="10" t="s">
        <v>54</v>
      </c>
      <c r="D186" s="10" t="s">
        <v>22</v>
      </c>
      <c r="E186" s="10" t="str">
        <f t="shared" si="1"/>
        <v>Bob</v>
      </c>
      <c r="F186" s="10" t="s">
        <v>29</v>
      </c>
      <c r="G186" s="9" t="s">
        <v>521</v>
      </c>
      <c r="H186" s="10" t="s">
        <v>55</v>
      </c>
      <c r="I186" s="10">
        <v>7</v>
      </c>
      <c r="J186" s="10">
        <v>359.9</v>
      </c>
      <c r="K186" s="10">
        <f t="shared" si="2"/>
        <v>2519.2999999999997</v>
      </c>
      <c r="L186" s="10" t="s">
        <v>331</v>
      </c>
      <c r="M186" s="9" t="str">
        <f t="shared" si="3"/>
        <v>UNKONWN</v>
      </c>
      <c r="N186" s="9" t="s">
        <v>521</v>
      </c>
      <c r="O186" s="9" t="str">
        <f t="shared" si="4"/>
        <v>Unkonwn</v>
      </c>
      <c r="P186" s="10" t="s">
        <v>52</v>
      </c>
      <c r="Q186" s="10" t="str">
        <f t="shared" si="5"/>
        <v>Follow Up</v>
      </c>
    </row>
    <row r="187" spans="1:17" ht="14.25" customHeight="1">
      <c r="A187" s="8">
        <v>45336</v>
      </c>
      <c r="B187" s="10" t="str">
        <f t="shared" si="0"/>
        <v>West</v>
      </c>
      <c r="C187" s="10" t="s">
        <v>54</v>
      </c>
      <c r="D187" s="10" t="s">
        <v>59</v>
      </c>
      <c r="E187" s="10" t="str">
        <f t="shared" si="1"/>
        <v>Charlie</v>
      </c>
      <c r="F187" s="10" t="s">
        <v>50</v>
      </c>
      <c r="G187" s="9" t="s">
        <v>521</v>
      </c>
      <c r="H187" s="10" t="s">
        <v>78</v>
      </c>
      <c r="I187" s="10">
        <v>12</v>
      </c>
      <c r="J187" s="10">
        <v>306.38</v>
      </c>
      <c r="K187" s="10">
        <f t="shared" si="2"/>
        <v>3676.56</v>
      </c>
      <c r="L187" s="10" t="s">
        <v>164</v>
      </c>
      <c r="M187" s="10" t="str">
        <f t="shared" si="3"/>
        <v>CASH</v>
      </c>
      <c r="N187" s="10" t="s">
        <v>93</v>
      </c>
      <c r="O187" s="10" t="str">
        <f t="shared" si="4"/>
        <v>Cash</v>
      </c>
      <c r="P187" s="10" t="s">
        <v>52</v>
      </c>
      <c r="Q187" s="10" t="str">
        <f t="shared" si="5"/>
        <v>Follow Up</v>
      </c>
    </row>
    <row r="188" spans="1:17" ht="14.25" customHeight="1">
      <c r="A188" s="8">
        <v>45537</v>
      </c>
      <c r="B188" s="9" t="str">
        <f t="shared" si="0"/>
        <v>North</v>
      </c>
      <c r="C188" s="9" t="s">
        <v>12</v>
      </c>
      <c r="D188" s="10" t="s">
        <v>87</v>
      </c>
      <c r="E188" s="10" t="str">
        <f t="shared" si="1"/>
        <v>Ethan</v>
      </c>
      <c r="F188" s="10" t="s">
        <v>23</v>
      </c>
      <c r="G188" s="10" t="s">
        <v>24</v>
      </c>
      <c r="H188" s="10" t="s">
        <v>101</v>
      </c>
      <c r="I188" s="10">
        <v>6</v>
      </c>
      <c r="J188" s="10">
        <v>134.61000000000001</v>
      </c>
      <c r="K188" s="10">
        <f t="shared" si="2"/>
        <v>807.66000000000008</v>
      </c>
      <c r="L188" s="10" t="s">
        <v>74</v>
      </c>
      <c r="M188" s="10" t="str">
        <f t="shared" si="3"/>
        <v>BANK TRANSFER</v>
      </c>
      <c r="N188" s="10" t="s">
        <v>18</v>
      </c>
      <c r="O188" s="10" t="str">
        <f t="shared" si="4"/>
        <v>Bank Transfer</v>
      </c>
      <c r="P188" s="10" t="s">
        <v>19</v>
      </c>
      <c r="Q188" s="10" t="str">
        <f t="shared" si="5"/>
        <v>Double Entry</v>
      </c>
    </row>
    <row r="189" spans="1:17" ht="14.25" customHeight="1">
      <c r="A189" s="8">
        <v>45525</v>
      </c>
      <c r="B189" s="9" t="str">
        <f t="shared" si="0"/>
        <v>Unknow</v>
      </c>
      <c r="C189" s="9" t="s">
        <v>522</v>
      </c>
      <c r="D189" s="10" t="s">
        <v>13</v>
      </c>
      <c r="E189" s="10" t="str">
        <f t="shared" si="1"/>
        <v>Faith</v>
      </c>
      <c r="F189" s="10" t="s">
        <v>50</v>
      </c>
      <c r="G189" s="9" t="s">
        <v>15</v>
      </c>
      <c r="H189" s="10" t="s">
        <v>127</v>
      </c>
      <c r="I189" s="10">
        <v>9</v>
      </c>
      <c r="J189" s="10">
        <v>394.73</v>
      </c>
      <c r="K189" s="10">
        <f t="shared" si="2"/>
        <v>3552.57</v>
      </c>
      <c r="L189" s="10" t="s">
        <v>173</v>
      </c>
      <c r="M189" s="10" t="str">
        <f t="shared" si="3"/>
        <v>MOBILE MONEY</v>
      </c>
      <c r="N189" s="10" t="s">
        <v>32</v>
      </c>
      <c r="O189" s="10" t="str">
        <f t="shared" si="4"/>
        <v>Mobile Money</v>
      </c>
      <c r="P189" s="9" t="s">
        <v>523</v>
      </c>
      <c r="Q189" s="9" t="str">
        <f t="shared" si="5"/>
        <v>No Comments</v>
      </c>
    </row>
    <row r="190" spans="1:17" ht="14.25" customHeight="1">
      <c r="A190" s="8">
        <v>45454</v>
      </c>
      <c r="B190" s="10" t="str">
        <f t="shared" si="0"/>
        <v>SOUTH</v>
      </c>
      <c r="C190" s="10" t="s">
        <v>46</v>
      </c>
      <c r="D190" s="10" t="s">
        <v>42</v>
      </c>
      <c r="E190" s="10" t="str">
        <f t="shared" si="1"/>
        <v>Alice</v>
      </c>
      <c r="F190" s="10" t="s">
        <v>23</v>
      </c>
      <c r="G190" s="9" t="s">
        <v>43</v>
      </c>
      <c r="H190" s="10" t="s">
        <v>67</v>
      </c>
      <c r="I190" s="10">
        <v>20</v>
      </c>
      <c r="J190" s="10">
        <v>274.64999999999998</v>
      </c>
      <c r="K190" s="10">
        <f t="shared" si="2"/>
        <v>5493</v>
      </c>
      <c r="L190" s="10" t="s">
        <v>48</v>
      </c>
      <c r="M190" s="10" t="str">
        <f t="shared" si="3"/>
        <v xml:space="preserve">MOBILE MONEY </v>
      </c>
      <c r="N190" s="10" t="s">
        <v>57</v>
      </c>
      <c r="O190" s="10" t="str">
        <f t="shared" si="4"/>
        <v xml:space="preserve">Mobile Money </v>
      </c>
      <c r="P190" s="10" t="s">
        <v>52</v>
      </c>
      <c r="Q190" s="10" t="str">
        <f t="shared" si="5"/>
        <v>Follow Up</v>
      </c>
    </row>
    <row r="191" spans="1:17" ht="14.25" customHeight="1">
      <c r="A191" s="8">
        <v>45555</v>
      </c>
      <c r="B191" s="10" t="str">
        <f t="shared" si="0"/>
        <v>South</v>
      </c>
      <c r="C191" s="10" t="s">
        <v>21</v>
      </c>
      <c r="D191" s="10" t="s">
        <v>22</v>
      </c>
      <c r="E191" s="10" t="str">
        <f t="shared" si="1"/>
        <v>Bob</v>
      </c>
      <c r="F191" s="10" t="s">
        <v>50</v>
      </c>
      <c r="G191" s="9" t="s">
        <v>521</v>
      </c>
      <c r="H191" s="10" t="s">
        <v>127</v>
      </c>
      <c r="I191" s="10">
        <v>1</v>
      </c>
      <c r="J191" s="10">
        <v>98.11</v>
      </c>
      <c r="K191" s="10">
        <f t="shared" si="2"/>
        <v>98.11</v>
      </c>
      <c r="L191" s="10" t="s">
        <v>211</v>
      </c>
      <c r="M191" s="10" t="str">
        <f t="shared" si="3"/>
        <v>CREDIT CARD</v>
      </c>
      <c r="N191" s="10" t="s">
        <v>75</v>
      </c>
      <c r="O191" s="10" t="str">
        <f t="shared" si="4"/>
        <v>Credit Card</v>
      </c>
      <c r="P191" s="9" t="s">
        <v>523</v>
      </c>
      <c r="Q191" s="9" t="str">
        <f t="shared" si="5"/>
        <v>No Comments</v>
      </c>
    </row>
    <row r="192" spans="1:17" ht="14.25" customHeight="1">
      <c r="A192" s="8">
        <v>45396</v>
      </c>
      <c r="B192" s="10" t="str">
        <f t="shared" si="0"/>
        <v>West</v>
      </c>
      <c r="C192" s="10" t="s">
        <v>54</v>
      </c>
      <c r="D192" s="10" t="s">
        <v>22</v>
      </c>
      <c r="E192" s="10" t="str">
        <f t="shared" si="1"/>
        <v>Bob</v>
      </c>
      <c r="F192" s="10" t="s">
        <v>14</v>
      </c>
      <c r="G192" s="9" t="s">
        <v>43</v>
      </c>
      <c r="H192" s="10" t="s">
        <v>88</v>
      </c>
      <c r="I192" s="10">
        <v>19</v>
      </c>
      <c r="J192" s="10">
        <v>101.25</v>
      </c>
      <c r="K192" s="10">
        <f t="shared" si="2"/>
        <v>1923.75</v>
      </c>
      <c r="L192" s="10" t="s">
        <v>44</v>
      </c>
      <c r="M192" s="9" t="str">
        <f t="shared" si="3"/>
        <v>UNKONWN</v>
      </c>
      <c r="N192" s="9" t="s">
        <v>521</v>
      </c>
      <c r="O192" s="9" t="str">
        <f t="shared" si="4"/>
        <v>Unkonwn</v>
      </c>
      <c r="P192" s="10" t="s">
        <v>52</v>
      </c>
      <c r="Q192" s="10" t="str">
        <f t="shared" si="5"/>
        <v>Follow Up</v>
      </c>
    </row>
    <row r="193" spans="1:17" ht="14.25" customHeight="1">
      <c r="A193" s="8">
        <v>45462</v>
      </c>
      <c r="B193" s="9" t="str">
        <f t="shared" si="0"/>
        <v>Unknow</v>
      </c>
      <c r="C193" s="9" t="s">
        <v>522</v>
      </c>
      <c r="D193" s="10" t="s">
        <v>28</v>
      </c>
      <c r="E193" s="10" t="str">
        <f t="shared" si="1"/>
        <v>George</v>
      </c>
      <c r="F193" s="10" t="s">
        <v>36</v>
      </c>
      <c r="G193" s="9" t="s">
        <v>15</v>
      </c>
      <c r="H193" s="10" t="s">
        <v>101</v>
      </c>
      <c r="I193" s="10">
        <v>16</v>
      </c>
      <c r="J193" s="10">
        <v>497.64</v>
      </c>
      <c r="K193" s="10">
        <f t="shared" si="2"/>
        <v>7962.24</v>
      </c>
      <c r="L193" s="10" t="s">
        <v>351</v>
      </c>
      <c r="M193" s="10" t="str">
        <f t="shared" si="3"/>
        <v>MOBILE MONEY</v>
      </c>
      <c r="N193" s="10" t="s">
        <v>32</v>
      </c>
      <c r="O193" s="10" t="str">
        <f t="shared" si="4"/>
        <v>Mobile Money</v>
      </c>
      <c r="P193" s="10" t="s">
        <v>52</v>
      </c>
      <c r="Q193" s="10" t="str">
        <f t="shared" si="5"/>
        <v>Follow Up</v>
      </c>
    </row>
    <row r="194" spans="1:17" ht="14.25" customHeight="1">
      <c r="A194" s="8">
        <v>45574</v>
      </c>
      <c r="B194" s="10" t="str">
        <f t="shared" si="0"/>
        <v>West</v>
      </c>
      <c r="C194" s="10" t="s">
        <v>54</v>
      </c>
      <c r="D194" s="10" t="s">
        <v>42</v>
      </c>
      <c r="E194" s="10" t="str">
        <f t="shared" si="1"/>
        <v>Alice</v>
      </c>
      <c r="F194" s="10" t="s">
        <v>29</v>
      </c>
      <c r="G194" s="10" t="s">
        <v>70</v>
      </c>
      <c r="H194" s="10" t="s">
        <v>71</v>
      </c>
      <c r="I194" s="10">
        <v>20</v>
      </c>
      <c r="J194" s="10">
        <v>199.03</v>
      </c>
      <c r="K194" s="10">
        <f t="shared" si="2"/>
        <v>3980.6</v>
      </c>
      <c r="L194" s="10" t="s">
        <v>353</v>
      </c>
      <c r="M194" s="10" t="str">
        <f t="shared" si="3"/>
        <v xml:space="preserve">MOBILE MONEY </v>
      </c>
      <c r="N194" s="10" t="s">
        <v>57</v>
      </c>
      <c r="O194" s="10" t="str">
        <f t="shared" si="4"/>
        <v xml:space="preserve">Mobile Money </v>
      </c>
      <c r="P194" s="10" t="s">
        <v>52</v>
      </c>
      <c r="Q194" s="10" t="str">
        <f t="shared" si="5"/>
        <v>Follow Up</v>
      </c>
    </row>
    <row r="195" spans="1:17" ht="14.25" customHeight="1">
      <c r="A195" s="8">
        <v>45346</v>
      </c>
      <c r="B195" s="9" t="str">
        <f t="shared" si="0"/>
        <v>Unknow</v>
      </c>
      <c r="C195" s="9" t="s">
        <v>522</v>
      </c>
      <c r="D195" s="10" t="s">
        <v>77</v>
      </c>
      <c r="E195" s="10" t="str">
        <f t="shared" si="1"/>
        <v>Diana</v>
      </c>
      <c r="F195" s="10" t="s">
        <v>47</v>
      </c>
      <c r="G195" s="10" t="s">
        <v>24</v>
      </c>
      <c r="H195" s="10" t="s">
        <v>88</v>
      </c>
      <c r="I195" s="10">
        <v>2</v>
      </c>
      <c r="J195" s="10">
        <v>448.02</v>
      </c>
      <c r="K195" s="10">
        <f t="shared" si="2"/>
        <v>896.04</v>
      </c>
      <c r="L195" s="10" t="s">
        <v>255</v>
      </c>
      <c r="M195" s="10" t="str">
        <f t="shared" si="3"/>
        <v>MOBILE MONEY</v>
      </c>
      <c r="N195" s="10" t="s">
        <v>32</v>
      </c>
      <c r="O195" s="10" t="str">
        <f t="shared" si="4"/>
        <v>Mobile Money</v>
      </c>
      <c r="P195" s="10" t="s">
        <v>33</v>
      </c>
      <c r="Q195" s="10" t="str">
        <f t="shared" si="5"/>
        <v>Priority</v>
      </c>
    </row>
    <row r="196" spans="1:17" ht="14.25" customHeight="1">
      <c r="A196" s="8">
        <v>45324</v>
      </c>
      <c r="B196" s="10" t="str">
        <f t="shared" si="0"/>
        <v>East</v>
      </c>
      <c r="C196" s="10" t="s">
        <v>146</v>
      </c>
      <c r="D196" s="10" t="s">
        <v>13</v>
      </c>
      <c r="E196" s="10" t="str">
        <f t="shared" si="1"/>
        <v>Faith</v>
      </c>
      <c r="F196" s="10" t="s">
        <v>14</v>
      </c>
      <c r="G196" s="9" t="s">
        <v>37</v>
      </c>
      <c r="H196" s="10" t="s">
        <v>16</v>
      </c>
      <c r="I196" s="10">
        <v>1</v>
      </c>
      <c r="J196" s="10">
        <v>117.84</v>
      </c>
      <c r="K196" s="10">
        <f t="shared" si="2"/>
        <v>117.84</v>
      </c>
      <c r="L196" s="10" t="s">
        <v>224</v>
      </c>
      <c r="M196" s="10" t="str">
        <f t="shared" si="3"/>
        <v>CASH</v>
      </c>
      <c r="N196" s="10" t="s">
        <v>65</v>
      </c>
      <c r="O196" s="10" t="str">
        <f t="shared" si="4"/>
        <v>Cash</v>
      </c>
      <c r="P196" s="10" t="s">
        <v>33</v>
      </c>
      <c r="Q196" s="10" t="str">
        <f t="shared" si="5"/>
        <v>Priority</v>
      </c>
    </row>
    <row r="197" spans="1:17" ht="14.25" customHeight="1">
      <c r="A197" s="8">
        <v>45591</v>
      </c>
      <c r="B197" s="10" t="str">
        <f t="shared" si="0"/>
        <v>SOUTH</v>
      </c>
      <c r="C197" s="10" t="s">
        <v>46</v>
      </c>
      <c r="D197" s="10" t="s">
        <v>87</v>
      </c>
      <c r="E197" s="10" t="str">
        <f t="shared" si="1"/>
        <v>Ethan</v>
      </c>
      <c r="F197" s="10" t="s">
        <v>47</v>
      </c>
      <c r="G197" s="9" t="s">
        <v>15</v>
      </c>
      <c r="H197" s="10" t="s">
        <v>63</v>
      </c>
      <c r="I197" s="10">
        <v>1</v>
      </c>
      <c r="J197" s="10">
        <v>426.88</v>
      </c>
      <c r="K197" s="10">
        <f t="shared" si="2"/>
        <v>426.88</v>
      </c>
      <c r="L197" s="10" t="s">
        <v>356</v>
      </c>
      <c r="M197" s="9" t="str">
        <f t="shared" si="3"/>
        <v>UNKONWN</v>
      </c>
      <c r="N197" s="9" t="s">
        <v>521</v>
      </c>
      <c r="O197" s="9" t="str">
        <f t="shared" si="4"/>
        <v>Unkonwn</v>
      </c>
      <c r="P197" s="10" t="s">
        <v>33</v>
      </c>
      <c r="Q197" s="10" t="str">
        <f t="shared" si="5"/>
        <v>Priority</v>
      </c>
    </row>
    <row r="198" spans="1:17" ht="14.25" customHeight="1">
      <c r="A198" s="8">
        <v>45437</v>
      </c>
      <c r="B198" s="10" t="str">
        <f t="shared" si="0"/>
        <v>East</v>
      </c>
      <c r="C198" s="10" t="s">
        <v>146</v>
      </c>
      <c r="D198" s="10" t="s">
        <v>22</v>
      </c>
      <c r="E198" s="10" t="str">
        <f t="shared" si="1"/>
        <v>Bob</v>
      </c>
      <c r="F198" s="10" t="s">
        <v>47</v>
      </c>
      <c r="G198" s="10" t="s">
        <v>24</v>
      </c>
      <c r="H198" s="10" t="s">
        <v>71</v>
      </c>
      <c r="I198" s="10">
        <v>13</v>
      </c>
      <c r="J198" s="10">
        <v>382.9</v>
      </c>
      <c r="K198" s="10">
        <f t="shared" si="2"/>
        <v>4977.7</v>
      </c>
      <c r="L198" s="10" t="s">
        <v>295</v>
      </c>
      <c r="M198" s="10" t="str">
        <f t="shared" si="3"/>
        <v xml:space="preserve">MOBILE MONEY </v>
      </c>
      <c r="N198" s="10" t="s">
        <v>57</v>
      </c>
      <c r="O198" s="10" t="str">
        <f t="shared" si="4"/>
        <v xml:space="preserve">Mobile Money </v>
      </c>
      <c r="P198" s="10" t="s">
        <v>33</v>
      </c>
      <c r="Q198" s="10" t="str">
        <f t="shared" si="5"/>
        <v>Priority</v>
      </c>
    </row>
    <row r="199" spans="1:17" ht="14.25" customHeight="1">
      <c r="A199" s="8">
        <v>45408</v>
      </c>
      <c r="B199" s="9" t="str">
        <f t="shared" si="0"/>
        <v>Unknow</v>
      </c>
      <c r="C199" s="9" t="s">
        <v>522</v>
      </c>
      <c r="D199" s="10" t="s">
        <v>28</v>
      </c>
      <c r="E199" s="10" t="str">
        <f t="shared" si="1"/>
        <v>George</v>
      </c>
      <c r="F199" s="10" t="s">
        <v>50</v>
      </c>
      <c r="G199" s="10" t="s">
        <v>24</v>
      </c>
      <c r="H199" s="9" t="s">
        <v>91</v>
      </c>
      <c r="I199" s="10">
        <v>7</v>
      </c>
      <c r="J199" s="10">
        <v>291.98</v>
      </c>
      <c r="K199" s="10">
        <f t="shared" si="2"/>
        <v>2043.8600000000001</v>
      </c>
      <c r="L199" s="10" t="s">
        <v>123</v>
      </c>
      <c r="M199" s="9" t="str">
        <f t="shared" si="3"/>
        <v>UNKONWN</v>
      </c>
      <c r="N199" s="9" t="s">
        <v>521</v>
      </c>
      <c r="O199" s="9" t="str">
        <f t="shared" si="4"/>
        <v>Unkonwn</v>
      </c>
      <c r="P199" s="10" t="s">
        <v>52</v>
      </c>
      <c r="Q199" s="10" t="str">
        <f t="shared" si="5"/>
        <v>Follow Up</v>
      </c>
    </row>
    <row r="200" spans="1:17" ht="14.25" customHeight="1">
      <c r="A200" s="8">
        <v>45402</v>
      </c>
      <c r="B200" s="10" t="str">
        <f t="shared" si="0"/>
        <v>West</v>
      </c>
      <c r="C200" s="10" t="s">
        <v>54</v>
      </c>
      <c r="D200" s="10" t="s">
        <v>28</v>
      </c>
      <c r="E200" s="10" t="str">
        <f t="shared" si="1"/>
        <v>George</v>
      </c>
      <c r="F200" s="10" t="s">
        <v>50</v>
      </c>
      <c r="G200" s="9" t="s">
        <v>43</v>
      </c>
      <c r="H200" s="10" t="s">
        <v>30</v>
      </c>
      <c r="I200" s="10">
        <v>20</v>
      </c>
      <c r="J200" s="10">
        <v>10.88</v>
      </c>
      <c r="K200" s="10">
        <f t="shared" si="2"/>
        <v>217.60000000000002</v>
      </c>
      <c r="L200" s="10" t="s">
        <v>315</v>
      </c>
      <c r="M200" s="9" t="str">
        <f t="shared" si="3"/>
        <v>UNKONWN</v>
      </c>
      <c r="N200" s="9" t="s">
        <v>521</v>
      </c>
      <c r="O200" s="9" t="str">
        <f t="shared" si="4"/>
        <v>Unkonwn</v>
      </c>
      <c r="P200" s="10" t="s">
        <v>83</v>
      </c>
      <c r="Q200" s="10" t="str">
        <f t="shared" si="5"/>
        <v>Check Stock</v>
      </c>
    </row>
    <row r="201" spans="1:17" ht="14.25" customHeight="1">
      <c r="A201" s="8">
        <v>45297</v>
      </c>
      <c r="B201" s="10" t="str">
        <f t="shared" si="0"/>
        <v>South</v>
      </c>
      <c r="C201" s="10" t="s">
        <v>21</v>
      </c>
      <c r="D201" s="10" t="s">
        <v>42</v>
      </c>
      <c r="E201" s="10" t="str">
        <f t="shared" si="1"/>
        <v>Alice</v>
      </c>
      <c r="F201" s="10" t="s">
        <v>23</v>
      </c>
      <c r="G201" s="9" t="s">
        <v>43</v>
      </c>
      <c r="H201" s="10" t="s">
        <v>117</v>
      </c>
      <c r="I201" s="10">
        <v>8</v>
      </c>
      <c r="J201" s="10">
        <v>114.13</v>
      </c>
      <c r="K201" s="10">
        <f t="shared" si="2"/>
        <v>913.04</v>
      </c>
      <c r="L201" s="10" t="s">
        <v>358</v>
      </c>
      <c r="M201" s="10" t="str">
        <f t="shared" si="3"/>
        <v>BANK TRANSFER</v>
      </c>
      <c r="N201" s="10" t="s">
        <v>18</v>
      </c>
      <c r="O201" s="10" t="str">
        <f t="shared" si="4"/>
        <v>Bank Transfer</v>
      </c>
      <c r="P201" s="10" t="s">
        <v>40</v>
      </c>
      <c r="Q201" s="10" t="str">
        <f t="shared" si="5"/>
        <v>Urgent</v>
      </c>
    </row>
    <row r="202" spans="1:17" ht="14.25" customHeight="1">
      <c r="A202" s="8">
        <v>45372</v>
      </c>
      <c r="B202" s="10" t="str">
        <f t="shared" si="0"/>
        <v>South</v>
      </c>
      <c r="C202" s="10" t="s">
        <v>21</v>
      </c>
      <c r="D202" s="10" t="s">
        <v>22</v>
      </c>
      <c r="E202" s="10" t="str">
        <f t="shared" si="1"/>
        <v>Bob</v>
      </c>
      <c r="F202" s="10" t="s">
        <v>50</v>
      </c>
      <c r="G202" s="9" t="s">
        <v>43</v>
      </c>
      <c r="H202" s="10" t="s">
        <v>38</v>
      </c>
      <c r="I202" s="10">
        <v>16</v>
      </c>
      <c r="J202" s="10">
        <v>155.27000000000001</v>
      </c>
      <c r="K202" s="10">
        <f t="shared" si="2"/>
        <v>2484.3200000000002</v>
      </c>
      <c r="L202" s="10" t="s">
        <v>360</v>
      </c>
      <c r="M202" s="10" t="str">
        <f t="shared" si="3"/>
        <v>CREDIT CARD</v>
      </c>
      <c r="N202" s="10" t="s">
        <v>75</v>
      </c>
      <c r="O202" s="10" t="str">
        <f t="shared" si="4"/>
        <v>Credit Card</v>
      </c>
      <c r="P202" s="10" t="s">
        <v>40</v>
      </c>
      <c r="Q202" s="10" t="str">
        <f t="shared" si="5"/>
        <v>Urgent</v>
      </c>
    </row>
    <row r="203" spans="1:17" ht="14.25" customHeight="1">
      <c r="A203" s="8">
        <v>45385</v>
      </c>
      <c r="B203" s="9" t="str">
        <f t="shared" si="0"/>
        <v>North</v>
      </c>
      <c r="C203" s="9" t="s">
        <v>12</v>
      </c>
      <c r="D203" s="10" t="s">
        <v>22</v>
      </c>
      <c r="E203" s="10" t="str">
        <f t="shared" si="1"/>
        <v>Bob</v>
      </c>
      <c r="F203" s="10" t="s">
        <v>50</v>
      </c>
      <c r="G203" s="9" t="s">
        <v>521</v>
      </c>
      <c r="H203" s="10" t="s">
        <v>30</v>
      </c>
      <c r="I203" s="10">
        <v>11</v>
      </c>
      <c r="J203" s="10">
        <v>138.11000000000001</v>
      </c>
      <c r="K203" s="10">
        <f t="shared" si="2"/>
        <v>1519.21</v>
      </c>
      <c r="L203" s="10" t="s">
        <v>328</v>
      </c>
      <c r="M203" s="10" t="str">
        <f t="shared" si="3"/>
        <v>MOBILE MONEY</v>
      </c>
      <c r="N203" s="10" t="s">
        <v>32</v>
      </c>
      <c r="O203" s="10" t="str">
        <f t="shared" si="4"/>
        <v>Mobile Money</v>
      </c>
      <c r="P203" s="9" t="s">
        <v>523</v>
      </c>
      <c r="Q203" s="9" t="str">
        <f t="shared" si="5"/>
        <v>No Comments</v>
      </c>
    </row>
    <row r="204" spans="1:17" ht="14.25" customHeight="1">
      <c r="A204" s="8">
        <v>45418</v>
      </c>
      <c r="B204" s="10" t="str">
        <f t="shared" si="0"/>
        <v>East</v>
      </c>
      <c r="C204" s="10" t="s">
        <v>146</v>
      </c>
      <c r="D204" s="10" t="s">
        <v>13</v>
      </c>
      <c r="E204" s="10" t="str">
        <f t="shared" si="1"/>
        <v>Faith</v>
      </c>
      <c r="F204" s="10" t="s">
        <v>14</v>
      </c>
      <c r="G204" s="10" t="s">
        <v>70</v>
      </c>
      <c r="H204" s="10" t="s">
        <v>25</v>
      </c>
      <c r="I204" s="10">
        <v>15</v>
      </c>
      <c r="J204" s="10">
        <v>337.18</v>
      </c>
      <c r="K204" s="10">
        <f t="shared" si="2"/>
        <v>5057.7</v>
      </c>
      <c r="L204" s="10" t="s">
        <v>202</v>
      </c>
      <c r="M204" s="9" t="str">
        <f t="shared" si="3"/>
        <v>UNKONWN</v>
      </c>
      <c r="N204" s="9" t="s">
        <v>521</v>
      </c>
      <c r="O204" s="9" t="str">
        <f t="shared" si="4"/>
        <v>Unkonwn</v>
      </c>
      <c r="P204" s="10" t="s">
        <v>52</v>
      </c>
      <c r="Q204" s="10" t="str">
        <f t="shared" si="5"/>
        <v>Follow Up</v>
      </c>
    </row>
    <row r="205" spans="1:17" ht="14.25" customHeight="1">
      <c r="A205" s="8">
        <v>45299</v>
      </c>
      <c r="B205" s="10" t="str">
        <f t="shared" si="0"/>
        <v>South</v>
      </c>
      <c r="C205" s="10" t="s">
        <v>21</v>
      </c>
      <c r="D205" s="10" t="s">
        <v>28</v>
      </c>
      <c r="E205" s="10" t="str">
        <f t="shared" si="1"/>
        <v>George</v>
      </c>
      <c r="F205" s="10" t="s">
        <v>36</v>
      </c>
      <c r="G205" s="9" t="s">
        <v>37</v>
      </c>
      <c r="H205" s="10" t="s">
        <v>169</v>
      </c>
      <c r="I205" s="10">
        <v>6</v>
      </c>
      <c r="J205" s="10">
        <v>408.33</v>
      </c>
      <c r="K205" s="10">
        <f t="shared" si="2"/>
        <v>2449.98</v>
      </c>
      <c r="L205" s="10" t="s">
        <v>364</v>
      </c>
      <c r="M205" s="10" t="str">
        <f t="shared" si="3"/>
        <v>BANK TRANSFER</v>
      </c>
      <c r="N205" s="10" t="s">
        <v>18</v>
      </c>
      <c r="O205" s="10" t="str">
        <f t="shared" si="4"/>
        <v>Bank Transfer</v>
      </c>
      <c r="P205" s="9" t="s">
        <v>523</v>
      </c>
      <c r="Q205" s="9" t="str">
        <f t="shared" si="5"/>
        <v>No Comments</v>
      </c>
    </row>
    <row r="206" spans="1:17" ht="14.25" customHeight="1">
      <c r="A206" s="8">
        <v>45410</v>
      </c>
      <c r="B206" s="10" t="str">
        <f t="shared" si="0"/>
        <v>SOUTH</v>
      </c>
      <c r="C206" s="10" t="s">
        <v>46</v>
      </c>
      <c r="D206" s="10" t="s">
        <v>42</v>
      </c>
      <c r="E206" s="10" t="str">
        <f t="shared" si="1"/>
        <v>Alice</v>
      </c>
      <c r="F206" s="10" t="s">
        <v>47</v>
      </c>
      <c r="G206" s="9" t="s">
        <v>43</v>
      </c>
      <c r="H206" s="10" t="s">
        <v>273</v>
      </c>
      <c r="I206" s="10">
        <v>12</v>
      </c>
      <c r="J206" s="10">
        <v>82.93</v>
      </c>
      <c r="K206" s="10">
        <f t="shared" si="2"/>
        <v>995.16000000000008</v>
      </c>
      <c r="L206" s="10" t="s">
        <v>197</v>
      </c>
      <c r="M206" s="10" t="str">
        <f t="shared" si="3"/>
        <v>BANK TRANSFER</v>
      </c>
      <c r="N206" s="10" t="s">
        <v>18</v>
      </c>
      <c r="O206" s="10" t="str">
        <f t="shared" si="4"/>
        <v>Bank Transfer</v>
      </c>
      <c r="P206" s="10" t="s">
        <v>83</v>
      </c>
      <c r="Q206" s="10" t="str">
        <f t="shared" si="5"/>
        <v>Check Stock</v>
      </c>
    </row>
    <row r="207" spans="1:17" ht="14.25" customHeight="1">
      <c r="A207" s="8">
        <v>45437</v>
      </c>
      <c r="B207" s="10" t="str">
        <f t="shared" si="0"/>
        <v>SOUTH</v>
      </c>
      <c r="C207" s="10" t="s">
        <v>46</v>
      </c>
      <c r="D207" s="10" t="s">
        <v>22</v>
      </c>
      <c r="E207" s="10" t="str">
        <f t="shared" si="1"/>
        <v>Bob</v>
      </c>
      <c r="F207" s="10" t="s">
        <v>23</v>
      </c>
      <c r="G207" s="9" t="s">
        <v>37</v>
      </c>
      <c r="H207" s="10" t="s">
        <v>183</v>
      </c>
      <c r="I207" s="10">
        <v>11</v>
      </c>
      <c r="J207" s="10">
        <v>403.34</v>
      </c>
      <c r="K207" s="10">
        <f t="shared" si="2"/>
        <v>4436.74</v>
      </c>
      <c r="L207" s="10" t="s">
        <v>179</v>
      </c>
      <c r="M207" s="10" t="str">
        <f t="shared" si="3"/>
        <v>MOBILE MONEY</v>
      </c>
      <c r="N207" s="10" t="s">
        <v>32</v>
      </c>
      <c r="O207" s="10" t="str">
        <f t="shared" si="4"/>
        <v>Mobile Money</v>
      </c>
      <c r="P207" s="9" t="s">
        <v>523</v>
      </c>
      <c r="Q207" s="9" t="str">
        <f t="shared" si="5"/>
        <v>No Comments</v>
      </c>
    </row>
    <row r="208" spans="1:17" ht="14.25" customHeight="1">
      <c r="A208" s="8">
        <v>45425</v>
      </c>
      <c r="B208" s="10" t="str">
        <f t="shared" si="0"/>
        <v>East</v>
      </c>
      <c r="C208" s="10" t="s">
        <v>146</v>
      </c>
      <c r="D208" s="10" t="s">
        <v>77</v>
      </c>
      <c r="E208" s="10" t="str">
        <f t="shared" si="1"/>
        <v>Diana</v>
      </c>
      <c r="F208" s="10" t="s">
        <v>29</v>
      </c>
      <c r="G208" s="9" t="s">
        <v>37</v>
      </c>
      <c r="H208" s="10" t="s">
        <v>63</v>
      </c>
      <c r="I208" s="10">
        <v>18</v>
      </c>
      <c r="J208" s="10">
        <v>52</v>
      </c>
      <c r="K208" s="10">
        <f t="shared" si="2"/>
        <v>936</v>
      </c>
      <c r="L208" s="10" t="s">
        <v>149</v>
      </c>
      <c r="M208" s="10" t="str">
        <f t="shared" si="3"/>
        <v>CREDIT CARD</v>
      </c>
      <c r="N208" s="10" t="s">
        <v>75</v>
      </c>
      <c r="O208" s="10" t="str">
        <f t="shared" si="4"/>
        <v>Credit Card</v>
      </c>
      <c r="P208" s="10" t="s">
        <v>83</v>
      </c>
      <c r="Q208" s="10" t="str">
        <f t="shared" si="5"/>
        <v>Check Stock</v>
      </c>
    </row>
    <row r="209" spans="1:17" ht="14.25" customHeight="1">
      <c r="A209" s="8">
        <v>45535</v>
      </c>
      <c r="B209" s="10" t="str">
        <f t="shared" si="0"/>
        <v>South</v>
      </c>
      <c r="C209" s="10" t="s">
        <v>21</v>
      </c>
      <c r="D209" s="10" t="s">
        <v>77</v>
      </c>
      <c r="E209" s="10" t="str">
        <f t="shared" si="1"/>
        <v>Diana</v>
      </c>
      <c r="F209" s="10" t="s">
        <v>50</v>
      </c>
      <c r="G209" s="9" t="s">
        <v>15</v>
      </c>
      <c r="H209" s="10" t="s">
        <v>112</v>
      </c>
      <c r="I209" s="10">
        <v>14</v>
      </c>
      <c r="J209" s="10">
        <v>147.44999999999999</v>
      </c>
      <c r="K209" s="10">
        <f t="shared" si="2"/>
        <v>2064.2999999999997</v>
      </c>
      <c r="L209" s="10" t="s">
        <v>366</v>
      </c>
      <c r="M209" s="10" t="str">
        <f t="shared" si="3"/>
        <v>MOBILE MONEY</v>
      </c>
      <c r="N209" s="10" t="s">
        <v>32</v>
      </c>
      <c r="O209" s="10" t="str">
        <f t="shared" si="4"/>
        <v>Mobile Money</v>
      </c>
      <c r="P209" s="9" t="s">
        <v>523</v>
      </c>
      <c r="Q209" s="9" t="str">
        <f t="shared" si="5"/>
        <v>No Comments</v>
      </c>
    </row>
    <row r="210" spans="1:17" ht="14.25" customHeight="1">
      <c r="A210" s="8">
        <v>45552</v>
      </c>
      <c r="B210" s="9" t="str">
        <f t="shared" si="0"/>
        <v>North</v>
      </c>
      <c r="C210" s="9" t="s">
        <v>12</v>
      </c>
      <c r="D210" s="10" t="s">
        <v>59</v>
      </c>
      <c r="E210" s="10" t="str">
        <f t="shared" si="1"/>
        <v>Charlie</v>
      </c>
      <c r="F210" s="10" t="s">
        <v>36</v>
      </c>
      <c r="G210" s="9" t="s">
        <v>37</v>
      </c>
      <c r="H210" s="10" t="s">
        <v>67</v>
      </c>
      <c r="I210" s="10">
        <v>14</v>
      </c>
      <c r="J210" s="10">
        <v>200.49</v>
      </c>
      <c r="K210" s="10">
        <f t="shared" si="2"/>
        <v>2806.86</v>
      </c>
      <c r="L210" s="10" t="s">
        <v>235</v>
      </c>
      <c r="M210" s="10" t="str">
        <f t="shared" si="3"/>
        <v>CASH</v>
      </c>
      <c r="N210" s="10" t="s">
        <v>93</v>
      </c>
      <c r="O210" s="10" t="str">
        <f t="shared" si="4"/>
        <v>Cash</v>
      </c>
      <c r="P210" s="10" t="s">
        <v>33</v>
      </c>
      <c r="Q210" s="10" t="str">
        <f t="shared" si="5"/>
        <v>Priority</v>
      </c>
    </row>
    <row r="211" spans="1:17" ht="14.25" customHeight="1">
      <c r="A211" s="8">
        <v>45520</v>
      </c>
      <c r="B211" s="9" t="str">
        <f t="shared" si="0"/>
        <v>North</v>
      </c>
      <c r="C211" s="9" t="s">
        <v>12</v>
      </c>
      <c r="D211" s="10" t="s">
        <v>28</v>
      </c>
      <c r="E211" s="10" t="str">
        <f t="shared" si="1"/>
        <v>George</v>
      </c>
      <c r="F211" s="10" t="s">
        <v>36</v>
      </c>
      <c r="G211" s="9" t="s">
        <v>43</v>
      </c>
      <c r="H211" s="10" t="s">
        <v>127</v>
      </c>
      <c r="I211" s="10">
        <v>11</v>
      </c>
      <c r="J211" s="10">
        <v>228.18</v>
      </c>
      <c r="K211" s="10">
        <f t="shared" si="2"/>
        <v>2509.98</v>
      </c>
      <c r="L211" s="10" t="s">
        <v>368</v>
      </c>
      <c r="M211" s="10" t="str">
        <f t="shared" si="3"/>
        <v>MOBILE MONEY</v>
      </c>
      <c r="N211" s="10" t="s">
        <v>32</v>
      </c>
      <c r="O211" s="10" t="str">
        <f t="shared" si="4"/>
        <v>Mobile Money</v>
      </c>
      <c r="P211" s="10" t="s">
        <v>83</v>
      </c>
      <c r="Q211" s="10" t="str">
        <f t="shared" si="5"/>
        <v>Check Stock</v>
      </c>
    </row>
    <row r="212" spans="1:17" ht="14.25" customHeight="1">
      <c r="A212" s="8">
        <v>45504</v>
      </c>
      <c r="B212" s="10" t="str">
        <f t="shared" si="0"/>
        <v>East</v>
      </c>
      <c r="C212" s="10" t="s">
        <v>146</v>
      </c>
      <c r="D212" s="10" t="s">
        <v>13</v>
      </c>
      <c r="E212" s="10" t="str">
        <f t="shared" si="1"/>
        <v>Faith</v>
      </c>
      <c r="F212" s="10" t="s">
        <v>36</v>
      </c>
      <c r="G212" s="10" t="s">
        <v>70</v>
      </c>
      <c r="H212" s="10" t="s">
        <v>106</v>
      </c>
      <c r="I212" s="10">
        <v>12</v>
      </c>
      <c r="J212" s="10">
        <v>482.25</v>
      </c>
      <c r="K212" s="10">
        <f t="shared" si="2"/>
        <v>5787</v>
      </c>
      <c r="L212" s="10" t="s">
        <v>92</v>
      </c>
      <c r="M212" s="9" t="str">
        <f t="shared" si="3"/>
        <v>UNKONWN</v>
      </c>
      <c r="N212" s="9" t="s">
        <v>521</v>
      </c>
      <c r="O212" s="9" t="str">
        <f t="shared" si="4"/>
        <v>Unkonwn</v>
      </c>
      <c r="P212" s="10" t="s">
        <v>33</v>
      </c>
      <c r="Q212" s="10" t="str">
        <f t="shared" si="5"/>
        <v>Priority</v>
      </c>
    </row>
    <row r="213" spans="1:17" ht="14.25" customHeight="1">
      <c r="A213" s="8">
        <v>45306</v>
      </c>
      <c r="B213" s="10" t="str">
        <f t="shared" si="0"/>
        <v>West</v>
      </c>
      <c r="C213" s="10" t="s">
        <v>54</v>
      </c>
      <c r="D213" s="10" t="s">
        <v>77</v>
      </c>
      <c r="E213" s="10" t="str">
        <f t="shared" si="1"/>
        <v>Diana</v>
      </c>
      <c r="F213" s="10" t="s">
        <v>36</v>
      </c>
      <c r="G213" s="10" t="s">
        <v>70</v>
      </c>
      <c r="H213" s="10" t="s">
        <v>169</v>
      </c>
      <c r="I213" s="10">
        <v>19</v>
      </c>
      <c r="J213" s="10">
        <v>496.75</v>
      </c>
      <c r="K213" s="10">
        <f t="shared" si="2"/>
        <v>9438.25</v>
      </c>
      <c r="L213" s="10" t="s">
        <v>226</v>
      </c>
      <c r="M213" s="10" t="str">
        <f t="shared" si="3"/>
        <v>CASH</v>
      </c>
      <c r="N213" s="10" t="s">
        <v>65</v>
      </c>
      <c r="O213" s="10" t="str">
        <f t="shared" si="4"/>
        <v>Cash</v>
      </c>
      <c r="P213" s="9" t="s">
        <v>523</v>
      </c>
      <c r="Q213" s="9" t="str">
        <f t="shared" si="5"/>
        <v>No Comments</v>
      </c>
    </row>
    <row r="214" spans="1:17" ht="14.25" customHeight="1">
      <c r="A214" s="8">
        <v>45522</v>
      </c>
      <c r="B214" s="9" t="str">
        <f t="shared" si="0"/>
        <v>North</v>
      </c>
      <c r="C214" s="9" t="s">
        <v>12</v>
      </c>
      <c r="D214" s="10" t="s">
        <v>62</v>
      </c>
      <c r="E214" s="10" t="str">
        <f t="shared" si="1"/>
        <v>Hannah</v>
      </c>
      <c r="F214" s="10" t="s">
        <v>50</v>
      </c>
      <c r="G214" s="10" t="s">
        <v>24</v>
      </c>
      <c r="H214" s="10" t="s">
        <v>106</v>
      </c>
      <c r="I214" s="10">
        <v>17</v>
      </c>
      <c r="J214" s="10">
        <v>75.319999999999993</v>
      </c>
      <c r="K214" s="10">
        <f t="shared" si="2"/>
        <v>1280.4399999999998</v>
      </c>
      <c r="L214" s="10" t="s">
        <v>224</v>
      </c>
      <c r="M214" s="10" t="str">
        <f t="shared" si="3"/>
        <v>BANK TRANSFER</v>
      </c>
      <c r="N214" s="10" t="s">
        <v>18</v>
      </c>
      <c r="O214" s="10" t="str">
        <f t="shared" si="4"/>
        <v>Bank Transfer</v>
      </c>
      <c r="P214" s="9" t="s">
        <v>523</v>
      </c>
      <c r="Q214" s="9" t="str">
        <f t="shared" si="5"/>
        <v>No Comments</v>
      </c>
    </row>
    <row r="215" spans="1:17" ht="14.25" customHeight="1">
      <c r="A215" s="8">
        <v>45389</v>
      </c>
      <c r="B215" s="10" t="str">
        <f t="shared" si="0"/>
        <v>East</v>
      </c>
      <c r="C215" s="10" t="s">
        <v>35</v>
      </c>
      <c r="D215" s="10" t="s">
        <v>77</v>
      </c>
      <c r="E215" s="10" t="str">
        <f t="shared" si="1"/>
        <v>Diana</v>
      </c>
      <c r="F215" s="10" t="s">
        <v>36</v>
      </c>
      <c r="G215" s="9" t="s">
        <v>521</v>
      </c>
      <c r="H215" s="10" t="s">
        <v>38</v>
      </c>
      <c r="I215" s="10">
        <v>3</v>
      </c>
      <c r="J215" s="10">
        <v>443.34</v>
      </c>
      <c r="K215" s="10">
        <f t="shared" si="2"/>
        <v>1330.02</v>
      </c>
      <c r="L215" s="10" t="s">
        <v>371</v>
      </c>
      <c r="M215" s="10" t="str">
        <f t="shared" si="3"/>
        <v>BANK TRANSFER</v>
      </c>
      <c r="N215" s="10" t="s">
        <v>18</v>
      </c>
      <c r="O215" s="10" t="str">
        <f t="shared" si="4"/>
        <v>Bank Transfer</v>
      </c>
      <c r="P215" s="9" t="s">
        <v>523</v>
      </c>
      <c r="Q215" s="9" t="str">
        <f t="shared" si="5"/>
        <v>No Comments</v>
      </c>
    </row>
    <row r="216" spans="1:17" ht="14.25" customHeight="1">
      <c r="A216" s="8">
        <v>45363</v>
      </c>
      <c r="B216" s="10" t="str">
        <f t="shared" si="0"/>
        <v>South</v>
      </c>
      <c r="C216" s="10" t="s">
        <v>21</v>
      </c>
      <c r="D216" s="10" t="s">
        <v>22</v>
      </c>
      <c r="E216" s="10" t="str">
        <f t="shared" si="1"/>
        <v>Bob</v>
      </c>
      <c r="F216" s="10" t="s">
        <v>50</v>
      </c>
      <c r="G216" s="9" t="s">
        <v>15</v>
      </c>
      <c r="H216" s="10" t="s">
        <v>127</v>
      </c>
      <c r="I216" s="10">
        <v>20</v>
      </c>
      <c r="J216" s="10">
        <v>107.54</v>
      </c>
      <c r="K216" s="10">
        <f t="shared" si="2"/>
        <v>2150.8000000000002</v>
      </c>
      <c r="L216" s="10" t="s">
        <v>353</v>
      </c>
      <c r="M216" s="10" t="str">
        <f t="shared" si="3"/>
        <v>BANK TRANSFER</v>
      </c>
      <c r="N216" s="10" t="s">
        <v>18</v>
      </c>
      <c r="O216" s="10" t="str">
        <f t="shared" si="4"/>
        <v>Bank Transfer</v>
      </c>
      <c r="P216" s="10" t="s">
        <v>33</v>
      </c>
      <c r="Q216" s="10" t="str">
        <f t="shared" si="5"/>
        <v>Priority</v>
      </c>
    </row>
    <row r="217" spans="1:17" ht="14.25" customHeight="1">
      <c r="A217" s="8">
        <v>45526</v>
      </c>
      <c r="B217" s="10" t="str">
        <f t="shared" si="0"/>
        <v>West</v>
      </c>
      <c r="C217" s="10" t="s">
        <v>54</v>
      </c>
      <c r="D217" s="10" t="s">
        <v>28</v>
      </c>
      <c r="E217" s="10" t="str">
        <f t="shared" si="1"/>
        <v>George</v>
      </c>
      <c r="F217" s="10" t="s">
        <v>36</v>
      </c>
      <c r="G217" s="10" t="s">
        <v>24</v>
      </c>
      <c r="H217" s="10" t="s">
        <v>101</v>
      </c>
      <c r="I217" s="10">
        <v>13</v>
      </c>
      <c r="J217" s="10">
        <v>449.55</v>
      </c>
      <c r="K217" s="10">
        <f t="shared" si="2"/>
        <v>5844.1500000000005</v>
      </c>
      <c r="L217" s="10" t="s">
        <v>374</v>
      </c>
      <c r="M217" s="10" t="str">
        <f t="shared" si="3"/>
        <v>BANK TRANSFER</v>
      </c>
      <c r="N217" s="10" t="s">
        <v>18</v>
      </c>
      <c r="O217" s="10" t="str">
        <f t="shared" si="4"/>
        <v>Bank Transfer</v>
      </c>
      <c r="P217" s="10" t="s">
        <v>33</v>
      </c>
      <c r="Q217" s="10" t="str">
        <f t="shared" si="5"/>
        <v>Priority</v>
      </c>
    </row>
    <row r="218" spans="1:17" ht="14.25" customHeight="1">
      <c r="A218" s="8">
        <v>45571</v>
      </c>
      <c r="B218" s="10" t="str">
        <f t="shared" si="0"/>
        <v>East</v>
      </c>
      <c r="C218" s="10" t="s">
        <v>35</v>
      </c>
      <c r="D218" s="10" t="s">
        <v>28</v>
      </c>
      <c r="E218" s="10" t="str">
        <f t="shared" si="1"/>
        <v>George</v>
      </c>
      <c r="F218" s="10" t="s">
        <v>29</v>
      </c>
      <c r="G218" s="9" t="s">
        <v>43</v>
      </c>
      <c r="H218" s="9" t="s">
        <v>91</v>
      </c>
      <c r="I218" s="10">
        <v>5</v>
      </c>
      <c r="J218" s="10">
        <v>392.78</v>
      </c>
      <c r="K218" s="10">
        <f t="shared" si="2"/>
        <v>1963.8999999999999</v>
      </c>
      <c r="L218" s="10" t="s">
        <v>56</v>
      </c>
      <c r="M218" s="10" t="str">
        <f t="shared" si="3"/>
        <v>CREDIT CARD</v>
      </c>
      <c r="N218" s="10" t="s">
        <v>75</v>
      </c>
      <c r="O218" s="10" t="str">
        <f t="shared" si="4"/>
        <v>Credit Card</v>
      </c>
      <c r="P218" s="9" t="s">
        <v>523</v>
      </c>
      <c r="Q218" s="9" t="str">
        <f t="shared" si="5"/>
        <v>No Comments</v>
      </c>
    </row>
    <row r="219" spans="1:17" ht="14.25" customHeight="1">
      <c r="A219" s="8">
        <v>45333</v>
      </c>
      <c r="B219" s="9" t="str">
        <f t="shared" si="0"/>
        <v>North</v>
      </c>
      <c r="C219" s="9" t="s">
        <v>12</v>
      </c>
      <c r="D219" s="10" t="s">
        <v>87</v>
      </c>
      <c r="E219" s="10" t="str">
        <f t="shared" si="1"/>
        <v>Ethan</v>
      </c>
      <c r="F219" s="10" t="s">
        <v>14</v>
      </c>
      <c r="G219" s="9" t="s">
        <v>15</v>
      </c>
      <c r="H219" s="10" t="s">
        <v>71</v>
      </c>
      <c r="I219" s="10">
        <v>1</v>
      </c>
      <c r="J219" s="10">
        <v>145.78</v>
      </c>
      <c r="K219" s="10">
        <f t="shared" si="2"/>
        <v>145.78</v>
      </c>
      <c r="L219" s="10" t="s">
        <v>328</v>
      </c>
      <c r="M219" s="10" t="str">
        <f t="shared" si="3"/>
        <v xml:space="preserve">MOBILE MONEY </v>
      </c>
      <c r="N219" s="10" t="s">
        <v>57</v>
      </c>
      <c r="O219" s="10" t="str">
        <f t="shared" si="4"/>
        <v xml:space="preserve">Mobile Money </v>
      </c>
      <c r="P219" s="10" t="s">
        <v>19</v>
      </c>
      <c r="Q219" s="10" t="str">
        <f t="shared" si="5"/>
        <v>Double Entry</v>
      </c>
    </row>
    <row r="220" spans="1:17" ht="14.25" customHeight="1">
      <c r="A220" s="8">
        <v>45298</v>
      </c>
      <c r="B220" s="10" t="str">
        <f t="shared" si="0"/>
        <v>South</v>
      </c>
      <c r="C220" s="10" t="s">
        <v>21</v>
      </c>
      <c r="D220" s="10" t="s">
        <v>22</v>
      </c>
      <c r="E220" s="10" t="str">
        <f t="shared" si="1"/>
        <v>Bob</v>
      </c>
      <c r="F220" s="10" t="s">
        <v>29</v>
      </c>
      <c r="G220" s="10" t="s">
        <v>70</v>
      </c>
      <c r="H220" s="10" t="s">
        <v>273</v>
      </c>
      <c r="I220" s="10">
        <v>12</v>
      </c>
      <c r="J220" s="10">
        <v>127.4</v>
      </c>
      <c r="K220" s="10">
        <f t="shared" si="2"/>
        <v>1528.8000000000002</v>
      </c>
      <c r="L220" s="10" t="s">
        <v>378</v>
      </c>
      <c r="M220" s="10" t="str">
        <f t="shared" si="3"/>
        <v>CASH</v>
      </c>
      <c r="N220" s="10" t="s">
        <v>93</v>
      </c>
      <c r="O220" s="10" t="str">
        <f t="shared" si="4"/>
        <v>Cash</v>
      </c>
      <c r="P220" s="9" t="s">
        <v>523</v>
      </c>
      <c r="Q220" s="9" t="str">
        <f t="shared" si="5"/>
        <v>No Comments</v>
      </c>
    </row>
    <row r="221" spans="1:17" ht="14.25" customHeight="1">
      <c r="A221" s="8">
        <v>45477</v>
      </c>
      <c r="B221" s="10" t="str">
        <f t="shared" si="0"/>
        <v>South</v>
      </c>
      <c r="C221" s="10" t="s">
        <v>21</v>
      </c>
      <c r="D221" s="10" t="s">
        <v>77</v>
      </c>
      <c r="E221" s="10" t="str">
        <f t="shared" si="1"/>
        <v>Diana</v>
      </c>
      <c r="F221" s="10" t="s">
        <v>50</v>
      </c>
      <c r="G221" s="10" t="s">
        <v>24</v>
      </c>
      <c r="H221" s="10" t="s">
        <v>78</v>
      </c>
      <c r="I221" s="10">
        <v>8</v>
      </c>
      <c r="J221" s="10">
        <v>43.59</v>
      </c>
      <c r="K221" s="10">
        <f t="shared" si="2"/>
        <v>348.72</v>
      </c>
      <c r="L221" s="10" t="s">
        <v>366</v>
      </c>
      <c r="M221" s="9" t="str">
        <f t="shared" si="3"/>
        <v>UNKONWN</v>
      </c>
      <c r="N221" s="9" t="s">
        <v>521</v>
      </c>
      <c r="O221" s="9" t="str">
        <f t="shared" si="4"/>
        <v>Unkonwn</v>
      </c>
      <c r="P221" s="10" t="s">
        <v>40</v>
      </c>
      <c r="Q221" s="10" t="str">
        <f t="shared" si="5"/>
        <v>Urgent</v>
      </c>
    </row>
    <row r="222" spans="1:17" ht="14.25" customHeight="1">
      <c r="A222" s="8">
        <v>45334</v>
      </c>
      <c r="B222" s="10" t="str">
        <f t="shared" si="0"/>
        <v>West</v>
      </c>
      <c r="C222" s="10" t="s">
        <v>54</v>
      </c>
      <c r="D222" s="10" t="s">
        <v>28</v>
      </c>
      <c r="E222" s="10" t="str">
        <f t="shared" si="1"/>
        <v>George</v>
      </c>
      <c r="F222" s="10" t="s">
        <v>23</v>
      </c>
      <c r="G222" s="9" t="s">
        <v>43</v>
      </c>
      <c r="H222" s="10" t="s">
        <v>67</v>
      </c>
      <c r="I222" s="10">
        <v>5</v>
      </c>
      <c r="J222" s="10">
        <v>75.900000000000006</v>
      </c>
      <c r="K222" s="10">
        <f t="shared" si="2"/>
        <v>379.5</v>
      </c>
      <c r="L222" s="10" t="s">
        <v>337</v>
      </c>
      <c r="M222" s="10" t="str">
        <f t="shared" si="3"/>
        <v>BANK TRANSFER</v>
      </c>
      <c r="N222" s="10" t="s">
        <v>18</v>
      </c>
      <c r="O222" s="10" t="str">
        <f t="shared" si="4"/>
        <v>Bank Transfer</v>
      </c>
      <c r="P222" s="10" t="s">
        <v>33</v>
      </c>
      <c r="Q222" s="10" t="str">
        <f t="shared" si="5"/>
        <v>Priority</v>
      </c>
    </row>
    <row r="223" spans="1:17" ht="14.25" customHeight="1">
      <c r="A223" s="8">
        <v>45328</v>
      </c>
      <c r="B223" s="10" t="str">
        <f t="shared" si="0"/>
        <v>SOUTH</v>
      </c>
      <c r="C223" s="10" t="s">
        <v>46</v>
      </c>
      <c r="D223" s="10" t="s">
        <v>59</v>
      </c>
      <c r="E223" s="10" t="str">
        <f t="shared" si="1"/>
        <v>Charlie</v>
      </c>
      <c r="F223" s="10" t="s">
        <v>47</v>
      </c>
      <c r="G223" s="10" t="s">
        <v>24</v>
      </c>
      <c r="H223" s="9" t="s">
        <v>91</v>
      </c>
      <c r="I223" s="10">
        <v>17</v>
      </c>
      <c r="J223" s="10">
        <v>113.09</v>
      </c>
      <c r="K223" s="10">
        <f t="shared" si="2"/>
        <v>1922.53</v>
      </c>
      <c r="L223" s="10" t="s">
        <v>382</v>
      </c>
      <c r="M223" s="10" t="str">
        <f t="shared" si="3"/>
        <v>MOBILE MONEY</v>
      </c>
      <c r="N223" s="10" t="s">
        <v>32</v>
      </c>
      <c r="O223" s="10" t="str">
        <f t="shared" si="4"/>
        <v>Mobile Money</v>
      </c>
      <c r="P223" s="9" t="s">
        <v>523</v>
      </c>
      <c r="Q223" s="9" t="str">
        <f t="shared" si="5"/>
        <v>No Comments</v>
      </c>
    </row>
    <row r="224" spans="1:17" ht="14.25" customHeight="1">
      <c r="A224" s="8">
        <v>45415</v>
      </c>
      <c r="B224" s="10" t="str">
        <f t="shared" si="0"/>
        <v>SOUTH</v>
      </c>
      <c r="C224" s="10" t="s">
        <v>46</v>
      </c>
      <c r="D224" s="10" t="s">
        <v>62</v>
      </c>
      <c r="E224" s="10" t="str">
        <f t="shared" si="1"/>
        <v>Hannah</v>
      </c>
      <c r="F224" s="10" t="s">
        <v>29</v>
      </c>
      <c r="G224" s="10" t="s">
        <v>70</v>
      </c>
      <c r="H224" s="10" t="s">
        <v>101</v>
      </c>
      <c r="I224" s="10">
        <v>20</v>
      </c>
      <c r="J224" s="10">
        <v>467.28</v>
      </c>
      <c r="K224" s="10">
        <f t="shared" si="2"/>
        <v>9345.5999999999985</v>
      </c>
      <c r="L224" s="10" t="s">
        <v>134</v>
      </c>
      <c r="M224" s="10" t="str">
        <f t="shared" si="3"/>
        <v>MOBILE MONEY</v>
      </c>
      <c r="N224" s="10" t="s">
        <v>32</v>
      </c>
      <c r="O224" s="10" t="str">
        <f t="shared" si="4"/>
        <v>Mobile Money</v>
      </c>
      <c r="P224" s="9" t="s">
        <v>523</v>
      </c>
      <c r="Q224" s="9" t="str">
        <f t="shared" si="5"/>
        <v>No Comments</v>
      </c>
    </row>
    <row r="225" spans="1:17" ht="14.25" customHeight="1">
      <c r="A225" s="8">
        <v>45561</v>
      </c>
      <c r="B225" s="10" t="str">
        <f t="shared" si="0"/>
        <v>West</v>
      </c>
      <c r="C225" s="10" t="s">
        <v>54</v>
      </c>
      <c r="D225" s="10" t="s">
        <v>13</v>
      </c>
      <c r="E225" s="10" t="str">
        <f t="shared" si="1"/>
        <v>Faith</v>
      </c>
      <c r="F225" s="10" t="s">
        <v>47</v>
      </c>
      <c r="G225" s="10" t="s">
        <v>24</v>
      </c>
      <c r="H225" s="10" t="s">
        <v>101</v>
      </c>
      <c r="I225" s="10">
        <v>14</v>
      </c>
      <c r="J225" s="10">
        <v>49.37</v>
      </c>
      <c r="K225" s="10">
        <f t="shared" si="2"/>
        <v>691.18</v>
      </c>
      <c r="L225" s="10" t="s">
        <v>130</v>
      </c>
      <c r="M225" s="10" t="str">
        <f t="shared" si="3"/>
        <v>BANK TRANSFER</v>
      </c>
      <c r="N225" s="10" t="s">
        <v>18</v>
      </c>
      <c r="O225" s="10" t="str">
        <f t="shared" si="4"/>
        <v>Bank Transfer</v>
      </c>
      <c r="P225" s="10" t="s">
        <v>52</v>
      </c>
      <c r="Q225" s="10" t="str">
        <f t="shared" si="5"/>
        <v>Follow Up</v>
      </c>
    </row>
    <row r="226" spans="1:17" ht="14.25" customHeight="1">
      <c r="A226" s="8">
        <v>45316</v>
      </c>
      <c r="B226" s="9" t="str">
        <f t="shared" si="0"/>
        <v>North</v>
      </c>
      <c r="C226" s="9" t="s">
        <v>12</v>
      </c>
      <c r="D226" s="10" t="s">
        <v>22</v>
      </c>
      <c r="E226" s="10" t="str">
        <f t="shared" si="1"/>
        <v>Bob</v>
      </c>
      <c r="F226" s="10" t="s">
        <v>29</v>
      </c>
      <c r="G226" s="9" t="s">
        <v>37</v>
      </c>
      <c r="H226" s="10" t="s">
        <v>213</v>
      </c>
      <c r="I226" s="10">
        <v>17</v>
      </c>
      <c r="J226" s="10">
        <v>9.4</v>
      </c>
      <c r="K226" s="10">
        <f t="shared" si="2"/>
        <v>159.80000000000001</v>
      </c>
      <c r="L226" s="10" t="s">
        <v>331</v>
      </c>
      <c r="M226" s="10" t="str">
        <f t="shared" si="3"/>
        <v>MOBILE MONEY</v>
      </c>
      <c r="N226" s="10" t="s">
        <v>32</v>
      </c>
      <c r="O226" s="10" t="str">
        <f t="shared" si="4"/>
        <v>Mobile Money</v>
      </c>
      <c r="P226" s="10" t="s">
        <v>33</v>
      </c>
      <c r="Q226" s="10" t="str">
        <f t="shared" si="5"/>
        <v>Priority</v>
      </c>
    </row>
    <row r="227" spans="1:17" ht="14.25" customHeight="1">
      <c r="A227" s="8">
        <v>45399</v>
      </c>
      <c r="B227" s="10" t="str">
        <f t="shared" si="0"/>
        <v>South</v>
      </c>
      <c r="C227" s="10" t="s">
        <v>21</v>
      </c>
      <c r="D227" s="10" t="s">
        <v>22</v>
      </c>
      <c r="E227" s="10" t="str">
        <f t="shared" si="1"/>
        <v>Bob</v>
      </c>
      <c r="F227" s="10" t="s">
        <v>23</v>
      </c>
      <c r="G227" s="10" t="s">
        <v>70</v>
      </c>
      <c r="H227" s="10" t="s">
        <v>63</v>
      </c>
      <c r="I227" s="10">
        <v>19</v>
      </c>
      <c r="J227" s="10">
        <v>8.3699999999999992</v>
      </c>
      <c r="K227" s="10">
        <f t="shared" si="2"/>
        <v>159.02999999999997</v>
      </c>
      <c r="L227" s="10" t="s">
        <v>339</v>
      </c>
      <c r="M227" s="10" t="str">
        <f t="shared" si="3"/>
        <v>BANK TRANSFER</v>
      </c>
      <c r="N227" s="10" t="s">
        <v>18</v>
      </c>
      <c r="O227" s="10" t="str">
        <f t="shared" si="4"/>
        <v>Bank Transfer</v>
      </c>
      <c r="P227" s="10" t="s">
        <v>19</v>
      </c>
      <c r="Q227" s="10" t="str">
        <f t="shared" si="5"/>
        <v>Double Entry</v>
      </c>
    </row>
    <row r="228" spans="1:17" ht="14.25" customHeight="1">
      <c r="A228" s="8">
        <v>45390</v>
      </c>
      <c r="B228" s="9" t="str">
        <f t="shared" si="0"/>
        <v>North</v>
      </c>
      <c r="C228" s="9" t="s">
        <v>12</v>
      </c>
      <c r="D228" s="10" t="s">
        <v>59</v>
      </c>
      <c r="E228" s="10" t="str">
        <f t="shared" si="1"/>
        <v>Charlie</v>
      </c>
      <c r="F228" s="10" t="s">
        <v>14</v>
      </c>
      <c r="G228" s="9" t="s">
        <v>43</v>
      </c>
      <c r="H228" s="10" t="s">
        <v>55</v>
      </c>
      <c r="I228" s="10">
        <v>8</v>
      </c>
      <c r="J228" s="10">
        <v>88.8</v>
      </c>
      <c r="K228" s="10">
        <f t="shared" si="2"/>
        <v>710.4</v>
      </c>
      <c r="L228" s="10" t="s">
        <v>287</v>
      </c>
      <c r="M228" s="10" t="str">
        <f t="shared" si="3"/>
        <v>MOBILE MONEY</v>
      </c>
      <c r="N228" s="10" t="s">
        <v>32</v>
      </c>
      <c r="O228" s="10" t="str">
        <f t="shared" si="4"/>
        <v>Mobile Money</v>
      </c>
      <c r="P228" s="10" t="s">
        <v>83</v>
      </c>
      <c r="Q228" s="10" t="str">
        <f t="shared" si="5"/>
        <v>Check Stock</v>
      </c>
    </row>
    <row r="229" spans="1:17" ht="14.25" customHeight="1">
      <c r="A229" s="8">
        <v>45387</v>
      </c>
      <c r="B229" s="10" t="str">
        <f t="shared" si="0"/>
        <v>East</v>
      </c>
      <c r="C229" s="10" t="s">
        <v>146</v>
      </c>
      <c r="D229" s="10" t="s">
        <v>28</v>
      </c>
      <c r="E229" s="10" t="str">
        <f t="shared" si="1"/>
        <v>George</v>
      </c>
      <c r="F229" s="10" t="s">
        <v>36</v>
      </c>
      <c r="G229" s="9" t="s">
        <v>43</v>
      </c>
      <c r="H229" s="10" t="s">
        <v>30</v>
      </c>
      <c r="I229" s="10">
        <v>17</v>
      </c>
      <c r="J229" s="10">
        <v>317.86</v>
      </c>
      <c r="K229" s="10">
        <f t="shared" si="2"/>
        <v>5403.62</v>
      </c>
      <c r="L229" s="10" t="s">
        <v>267</v>
      </c>
      <c r="M229" s="10" t="str">
        <f t="shared" si="3"/>
        <v>CASH</v>
      </c>
      <c r="N229" s="10" t="s">
        <v>65</v>
      </c>
      <c r="O229" s="10" t="str">
        <f t="shared" si="4"/>
        <v>Cash</v>
      </c>
      <c r="P229" s="10" t="s">
        <v>83</v>
      </c>
      <c r="Q229" s="10" t="str">
        <f t="shared" si="5"/>
        <v>Check Stock</v>
      </c>
    </row>
    <row r="230" spans="1:17" ht="14.25" customHeight="1">
      <c r="A230" s="8">
        <v>45298</v>
      </c>
      <c r="B230" s="10" t="str">
        <f t="shared" si="0"/>
        <v>East</v>
      </c>
      <c r="C230" s="10" t="s">
        <v>146</v>
      </c>
      <c r="D230" s="10" t="s">
        <v>42</v>
      </c>
      <c r="E230" s="10" t="str">
        <f t="shared" si="1"/>
        <v>Alice</v>
      </c>
      <c r="F230" s="10" t="s">
        <v>29</v>
      </c>
      <c r="G230" s="9" t="s">
        <v>37</v>
      </c>
      <c r="H230" s="10" t="s">
        <v>117</v>
      </c>
      <c r="I230" s="10">
        <v>9</v>
      </c>
      <c r="J230" s="10">
        <v>219.68</v>
      </c>
      <c r="K230" s="10">
        <f t="shared" si="2"/>
        <v>1977.1200000000001</v>
      </c>
      <c r="L230" s="10" t="s">
        <v>388</v>
      </c>
      <c r="M230" s="9" t="str">
        <f t="shared" si="3"/>
        <v>UNKONWN</v>
      </c>
      <c r="N230" s="9" t="s">
        <v>521</v>
      </c>
      <c r="O230" s="9" t="str">
        <f t="shared" si="4"/>
        <v>Unkonwn</v>
      </c>
      <c r="P230" s="10" t="s">
        <v>52</v>
      </c>
      <c r="Q230" s="10" t="str">
        <f t="shared" si="5"/>
        <v>Follow Up</v>
      </c>
    </row>
    <row r="231" spans="1:17" ht="14.25" customHeight="1">
      <c r="A231" s="8">
        <v>45395</v>
      </c>
      <c r="B231" s="10" t="str">
        <f t="shared" si="0"/>
        <v>East</v>
      </c>
      <c r="C231" s="10" t="s">
        <v>146</v>
      </c>
      <c r="D231" s="10" t="s">
        <v>87</v>
      </c>
      <c r="E231" s="10" t="str">
        <f t="shared" si="1"/>
        <v>Ethan</v>
      </c>
      <c r="F231" s="10" t="s">
        <v>29</v>
      </c>
      <c r="G231" s="10" t="s">
        <v>70</v>
      </c>
      <c r="H231" s="10" t="s">
        <v>273</v>
      </c>
      <c r="I231" s="10">
        <v>6</v>
      </c>
      <c r="J231" s="10">
        <v>427.68</v>
      </c>
      <c r="K231" s="10">
        <f t="shared" si="2"/>
        <v>2566.08</v>
      </c>
      <c r="L231" s="10" t="s">
        <v>130</v>
      </c>
      <c r="M231" s="10" t="str">
        <f t="shared" si="3"/>
        <v xml:space="preserve">MOBILE MONEY </v>
      </c>
      <c r="N231" s="10" t="s">
        <v>57</v>
      </c>
      <c r="O231" s="10" t="str">
        <f t="shared" si="4"/>
        <v xml:space="preserve">Mobile Money </v>
      </c>
      <c r="P231" s="10" t="s">
        <v>83</v>
      </c>
      <c r="Q231" s="10" t="str">
        <f t="shared" si="5"/>
        <v>Check Stock</v>
      </c>
    </row>
    <row r="232" spans="1:17" ht="14.25" customHeight="1">
      <c r="A232" s="8">
        <v>45398</v>
      </c>
      <c r="B232" s="9" t="str">
        <f t="shared" si="0"/>
        <v>Unknow</v>
      </c>
      <c r="C232" s="9" t="s">
        <v>522</v>
      </c>
      <c r="D232" s="10" t="s">
        <v>28</v>
      </c>
      <c r="E232" s="10" t="str">
        <f t="shared" si="1"/>
        <v>George</v>
      </c>
      <c r="F232" s="10" t="s">
        <v>50</v>
      </c>
      <c r="G232" s="9" t="s">
        <v>37</v>
      </c>
      <c r="H232" s="10" t="s">
        <v>78</v>
      </c>
      <c r="I232" s="10">
        <v>1</v>
      </c>
      <c r="J232" s="10">
        <v>287.42</v>
      </c>
      <c r="K232" s="10">
        <f t="shared" si="2"/>
        <v>287.42</v>
      </c>
      <c r="L232" s="10" t="s">
        <v>342</v>
      </c>
      <c r="M232" s="10" t="str">
        <f t="shared" si="3"/>
        <v xml:space="preserve">MOBILE MONEY </v>
      </c>
      <c r="N232" s="10" t="s">
        <v>57</v>
      </c>
      <c r="O232" s="10" t="str">
        <f t="shared" si="4"/>
        <v xml:space="preserve">Mobile Money </v>
      </c>
      <c r="P232" s="10" t="s">
        <v>52</v>
      </c>
      <c r="Q232" s="10" t="str">
        <f t="shared" si="5"/>
        <v>Follow Up</v>
      </c>
    </row>
    <row r="233" spans="1:17" ht="14.25" customHeight="1">
      <c r="A233" s="8">
        <v>45353</v>
      </c>
      <c r="B233" s="9" t="str">
        <f t="shared" si="0"/>
        <v>North</v>
      </c>
      <c r="C233" s="9" t="s">
        <v>12</v>
      </c>
      <c r="D233" s="10" t="s">
        <v>87</v>
      </c>
      <c r="E233" s="10" t="str">
        <f t="shared" si="1"/>
        <v>Ethan</v>
      </c>
      <c r="F233" s="10" t="s">
        <v>14</v>
      </c>
      <c r="G233" s="9" t="s">
        <v>43</v>
      </c>
      <c r="H233" s="10" t="s">
        <v>71</v>
      </c>
      <c r="I233" s="10">
        <v>12</v>
      </c>
      <c r="J233" s="10">
        <v>36.43</v>
      </c>
      <c r="K233" s="10">
        <f t="shared" si="2"/>
        <v>437.15999999999997</v>
      </c>
      <c r="L233" s="10" t="s">
        <v>391</v>
      </c>
      <c r="M233" s="10" t="str">
        <f t="shared" si="3"/>
        <v>MOBILE MONEY</v>
      </c>
      <c r="N233" s="10" t="s">
        <v>32</v>
      </c>
      <c r="O233" s="10" t="str">
        <f t="shared" si="4"/>
        <v>Mobile Money</v>
      </c>
      <c r="P233" s="10" t="s">
        <v>40</v>
      </c>
      <c r="Q233" s="10" t="str">
        <f t="shared" si="5"/>
        <v>Urgent</v>
      </c>
    </row>
    <row r="234" spans="1:17" ht="14.25" customHeight="1">
      <c r="A234" s="8">
        <v>45437</v>
      </c>
      <c r="B234" s="9" t="str">
        <f t="shared" si="0"/>
        <v>North</v>
      </c>
      <c r="C234" s="9" t="s">
        <v>12</v>
      </c>
      <c r="D234" s="10" t="s">
        <v>28</v>
      </c>
      <c r="E234" s="10" t="str">
        <f t="shared" si="1"/>
        <v>George</v>
      </c>
      <c r="F234" s="10" t="s">
        <v>14</v>
      </c>
      <c r="G234" s="9" t="s">
        <v>15</v>
      </c>
      <c r="H234" s="10" t="s">
        <v>88</v>
      </c>
      <c r="I234" s="10">
        <v>11</v>
      </c>
      <c r="J234" s="10">
        <v>375.25</v>
      </c>
      <c r="K234" s="10">
        <f t="shared" si="2"/>
        <v>4127.75</v>
      </c>
      <c r="L234" s="10" t="s">
        <v>392</v>
      </c>
      <c r="M234" s="9" t="str">
        <f t="shared" si="3"/>
        <v>UNKONWN</v>
      </c>
      <c r="N234" s="9" t="s">
        <v>521</v>
      </c>
      <c r="O234" s="9" t="str">
        <f t="shared" si="4"/>
        <v>Unkonwn</v>
      </c>
      <c r="P234" s="10" t="s">
        <v>40</v>
      </c>
      <c r="Q234" s="10" t="str">
        <f t="shared" si="5"/>
        <v>Urgent</v>
      </c>
    </row>
    <row r="235" spans="1:17" ht="14.25" customHeight="1">
      <c r="A235" s="8">
        <v>45569</v>
      </c>
      <c r="B235" s="10" t="str">
        <f t="shared" si="0"/>
        <v>SOUTH</v>
      </c>
      <c r="C235" s="10" t="s">
        <v>46</v>
      </c>
      <c r="D235" s="10" t="s">
        <v>59</v>
      </c>
      <c r="E235" s="10" t="str">
        <f t="shared" si="1"/>
        <v>Charlie</v>
      </c>
      <c r="F235" s="10" t="s">
        <v>29</v>
      </c>
      <c r="G235" s="10" t="s">
        <v>24</v>
      </c>
      <c r="H235" s="10" t="s">
        <v>273</v>
      </c>
      <c r="I235" s="10">
        <v>14</v>
      </c>
      <c r="J235" s="10">
        <v>460.13</v>
      </c>
      <c r="K235" s="10">
        <f t="shared" si="2"/>
        <v>6441.82</v>
      </c>
      <c r="L235" s="10" t="s">
        <v>297</v>
      </c>
      <c r="M235" s="10" t="str">
        <f t="shared" si="3"/>
        <v>CASH</v>
      </c>
      <c r="N235" s="10" t="s">
        <v>65</v>
      </c>
      <c r="O235" s="10" t="str">
        <f t="shared" si="4"/>
        <v>Cash</v>
      </c>
      <c r="P235" s="10" t="s">
        <v>40</v>
      </c>
      <c r="Q235" s="10" t="str">
        <f t="shared" si="5"/>
        <v>Urgent</v>
      </c>
    </row>
    <row r="236" spans="1:17" ht="14.25" customHeight="1">
      <c r="A236" s="8">
        <v>45292</v>
      </c>
      <c r="B236" s="10" t="str">
        <f t="shared" si="0"/>
        <v>East</v>
      </c>
      <c r="C236" s="10" t="s">
        <v>146</v>
      </c>
      <c r="D236" s="10" t="s">
        <v>59</v>
      </c>
      <c r="E236" s="10" t="str">
        <f t="shared" si="1"/>
        <v>Charlie</v>
      </c>
      <c r="F236" s="10" t="s">
        <v>29</v>
      </c>
      <c r="G236" s="10" t="s">
        <v>70</v>
      </c>
      <c r="H236" s="10" t="s">
        <v>213</v>
      </c>
      <c r="I236" s="10">
        <v>14</v>
      </c>
      <c r="J236" s="10">
        <v>176.93</v>
      </c>
      <c r="K236" s="10">
        <f t="shared" si="2"/>
        <v>2477.02</v>
      </c>
      <c r="L236" s="10" t="s">
        <v>394</v>
      </c>
      <c r="M236" s="9" t="str">
        <f t="shared" si="3"/>
        <v>UNKONWN</v>
      </c>
      <c r="N236" s="9" t="s">
        <v>521</v>
      </c>
      <c r="O236" s="9" t="str">
        <f t="shared" si="4"/>
        <v>Unkonwn</v>
      </c>
      <c r="P236" s="9" t="s">
        <v>523</v>
      </c>
      <c r="Q236" s="9" t="str">
        <f t="shared" si="5"/>
        <v>No Comments</v>
      </c>
    </row>
    <row r="237" spans="1:17" ht="14.25" customHeight="1">
      <c r="A237" s="8">
        <v>45374</v>
      </c>
      <c r="B237" s="10" t="str">
        <f t="shared" si="0"/>
        <v>East</v>
      </c>
      <c r="C237" s="10" t="s">
        <v>35</v>
      </c>
      <c r="D237" s="10" t="s">
        <v>28</v>
      </c>
      <c r="E237" s="10" t="str">
        <f t="shared" si="1"/>
        <v>George</v>
      </c>
      <c r="F237" s="10" t="s">
        <v>47</v>
      </c>
      <c r="G237" s="9" t="s">
        <v>15</v>
      </c>
      <c r="H237" s="10" t="s">
        <v>88</v>
      </c>
      <c r="I237" s="10">
        <v>13</v>
      </c>
      <c r="J237" s="10">
        <v>390.54</v>
      </c>
      <c r="K237" s="10">
        <f t="shared" si="2"/>
        <v>5077.0200000000004</v>
      </c>
      <c r="L237" s="10" t="s">
        <v>396</v>
      </c>
      <c r="M237" s="10" t="str">
        <f t="shared" si="3"/>
        <v>CASH</v>
      </c>
      <c r="N237" s="10" t="s">
        <v>93</v>
      </c>
      <c r="O237" s="10" t="str">
        <f t="shared" si="4"/>
        <v>Cash</v>
      </c>
      <c r="P237" s="10" t="s">
        <v>19</v>
      </c>
      <c r="Q237" s="10" t="str">
        <f t="shared" si="5"/>
        <v>Double Entry</v>
      </c>
    </row>
    <row r="238" spans="1:17" ht="14.25" customHeight="1">
      <c r="A238" s="8">
        <v>45387</v>
      </c>
      <c r="B238" s="9" t="str">
        <f t="shared" si="0"/>
        <v>North</v>
      </c>
      <c r="C238" s="9" t="s">
        <v>12</v>
      </c>
      <c r="D238" s="10" t="s">
        <v>42</v>
      </c>
      <c r="E238" s="10" t="str">
        <f t="shared" si="1"/>
        <v>Alice</v>
      </c>
      <c r="F238" s="10" t="s">
        <v>50</v>
      </c>
      <c r="G238" s="9" t="s">
        <v>521</v>
      </c>
      <c r="H238" s="10" t="s">
        <v>88</v>
      </c>
      <c r="I238" s="10">
        <v>9</v>
      </c>
      <c r="J238" s="10">
        <v>159.32</v>
      </c>
      <c r="K238" s="10">
        <f t="shared" si="2"/>
        <v>1433.8799999999999</v>
      </c>
      <c r="L238" s="10" t="s">
        <v>283</v>
      </c>
      <c r="M238" s="10" t="str">
        <f t="shared" si="3"/>
        <v>MOBILE MONEY</v>
      </c>
      <c r="N238" s="10" t="s">
        <v>32</v>
      </c>
      <c r="O238" s="10" t="str">
        <f t="shared" si="4"/>
        <v>Mobile Money</v>
      </c>
      <c r="P238" s="10" t="s">
        <v>83</v>
      </c>
      <c r="Q238" s="10" t="str">
        <f t="shared" si="5"/>
        <v>Check Stock</v>
      </c>
    </row>
    <row r="239" spans="1:17" ht="14.25" customHeight="1">
      <c r="A239" s="8">
        <v>45481</v>
      </c>
      <c r="B239" s="9" t="str">
        <f t="shared" si="0"/>
        <v>Unknow</v>
      </c>
      <c r="C239" s="9" t="s">
        <v>522</v>
      </c>
      <c r="D239" s="10" t="s">
        <v>42</v>
      </c>
      <c r="E239" s="10" t="str">
        <f t="shared" si="1"/>
        <v>Alice</v>
      </c>
      <c r="F239" s="10" t="s">
        <v>47</v>
      </c>
      <c r="G239" s="9" t="s">
        <v>43</v>
      </c>
      <c r="H239" s="10" t="s">
        <v>63</v>
      </c>
      <c r="I239" s="10">
        <v>17</v>
      </c>
      <c r="J239" s="10">
        <v>377.9</v>
      </c>
      <c r="K239" s="10">
        <f t="shared" si="2"/>
        <v>6424.2999999999993</v>
      </c>
      <c r="L239" s="10" t="s">
        <v>399</v>
      </c>
      <c r="M239" s="9" t="str">
        <f t="shared" si="3"/>
        <v>UNKONWN</v>
      </c>
      <c r="N239" s="9" t="s">
        <v>521</v>
      </c>
      <c r="O239" s="9" t="str">
        <f t="shared" si="4"/>
        <v>Unkonwn</v>
      </c>
      <c r="P239" s="10" t="s">
        <v>33</v>
      </c>
      <c r="Q239" s="10" t="str">
        <f t="shared" si="5"/>
        <v>Priority</v>
      </c>
    </row>
    <row r="240" spans="1:17" ht="14.25" customHeight="1">
      <c r="A240" s="8">
        <v>45479</v>
      </c>
      <c r="B240" s="10" t="str">
        <f t="shared" si="0"/>
        <v>SOUTH</v>
      </c>
      <c r="C240" s="10" t="s">
        <v>46</v>
      </c>
      <c r="D240" s="10" t="s">
        <v>87</v>
      </c>
      <c r="E240" s="10" t="str">
        <f t="shared" si="1"/>
        <v>Ethan</v>
      </c>
      <c r="F240" s="10" t="s">
        <v>23</v>
      </c>
      <c r="G240" s="9" t="s">
        <v>37</v>
      </c>
      <c r="H240" s="10" t="s">
        <v>78</v>
      </c>
      <c r="I240" s="10">
        <v>15</v>
      </c>
      <c r="J240" s="10">
        <v>131.96</v>
      </c>
      <c r="K240" s="10">
        <f t="shared" si="2"/>
        <v>1979.4</v>
      </c>
      <c r="L240" s="10" t="s">
        <v>400</v>
      </c>
      <c r="M240" s="9" t="str">
        <f t="shared" si="3"/>
        <v>UNKONWN</v>
      </c>
      <c r="N240" s="9" t="s">
        <v>521</v>
      </c>
      <c r="O240" s="9" t="str">
        <f t="shared" si="4"/>
        <v>Unkonwn</v>
      </c>
      <c r="P240" s="10" t="s">
        <v>19</v>
      </c>
      <c r="Q240" s="10" t="str">
        <f t="shared" si="5"/>
        <v>Double Entry</v>
      </c>
    </row>
    <row r="241" spans="1:17" ht="14.25" customHeight="1">
      <c r="A241" s="8">
        <v>45569</v>
      </c>
      <c r="B241" s="9" t="str">
        <f t="shared" si="0"/>
        <v>North</v>
      </c>
      <c r="C241" s="9" t="s">
        <v>12</v>
      </c>
      <c r="D241" s="10" t="s">
        <v>42</v>
      </c>
      <c r="E241" s="10" t="str">
        <f t="shared" si="1"/>
        <v>Alice</v>
      </c>
      <c r="F241" s="10" t="s">
        <v>29</v>
      </c>
      <c r="G241" s="10" t="s">
        <v>70</v>
      </c>
      <c r="H241" s="9" t="s">
        <v>91</v>
      </c>
      <c r="I241" s="10">
        <v>4</v>
      </c>
      <c r="J241" s="10">
        <v>319.23</v>
      </c>
      <c r="K241" s="10">
        <f t="shared" si="2"/>
        <v>1276.92</v>
      </c>
      <c r="L241" s="10" t="s">
        <v>401</v>
      </c>
      <c r="M241" s="10" t="str">
        <f t="shared" si="3"/>
        <v>CREDIT CARD</v>
      </c>
      <c r="N241" s="10" t="s">
        <v>75</v>
      </c>
      <c r="O241" s="10" t="str">
        <f t="shared" si="4"/>
        <v>Credit Card</v>
      </c>
      <c r="P241" s="10" t="s">
        <v>19</v>
      </c>
      <c r="Q241" s="10" t="str">
        <f t="shared" si="5"/>
        <v>Double Entry</v>
      </c>
    </row>
    <row r="242" spans="1:17" ht="14.25" customHeight="1">
      <c r="A242" s="8">
        <v>45352</v>
      </c>
      <c r="B242" s="9" t="str">
        <f t="shared" si="0"/>
        <v>North</v>
      </c>
      <c r="C242" s="9" t="s">
        <v>12</v>
      </c>
      <c r="D242" s="10" t="s">
        <v>62</v>
      </c>
      <c r="E242" s="10" t="str">
        <f t="shared" si="1"/>
        <v>Hannah</v>
      </c>
      <c r="F242" s="10" t="s">
        <v>14</v>
      </c>
      <c r="G242" s="9" t="s">
        <v>43</v>
      </c>
      <c r="H242" s="10" t="s">
        <v>67</v>
      </c>
      <c r="I242" s="10">
        <v>11</v>
      </c>
      <c r="J242" s="10">
        <v>456.8</v>
      </c>
      <c r="K242" s="10">
        <f t="shared" si="2"/>
        <v>5024.8</v>
      </c>
      <c r="L242" s="10" t="s">
        <v>261</v>
      </c>
      <c r="M242" s="10" t="str">
        <f t="shared" si="3"/>
        <v>CASH</v>
      </c>
      <c r="N242" s="10" t="s">
        <v>93</v>
      </c>
      <c r="O242" s="10" t="str">
        <f t="shared" si="4"/>
        <v>Cash</v>
      </c>
      <c r="P242" s="10" t="s">
        <v>19</v>
      </c>
      <c r="Q242" s="10" t="str">
        <f t="shared" si="5"/>
        <v>Double Entry</v>
      </c>
    </row>
    <row r="243" spans="1:17" ht="14.25" customHeight="1">
      <c r="A243" s="8">
        <v>45331</v>
      </c>
      <c r="B243" s="9" t="str">
        <f t="shared" si="0"/>
        <v>North</v>
      </c>
      <c r="C243" s="9" t="s">
        <v>12</v>
      </c>
      <c r="D243" s="10" t="s">
        <v>22</v>
      </c>
      <c r="E243" s="10" t="str">
        <f t="shared" si="1"/>
        <v>Bob</v>
      </c>
      <c r="F243" s="10" t="s">
        <v>29</v>
      </c>
      <c r="G243" s="9" t="s">
        <v>37</v>
      </c>
      <c r="H243" s="10" t="s">
        <v>117</v>
      </c>
      <c r="I243" s="10">
        <v>6</v>
      </c>
      <c r="J243" s="10">
        <v>194.08</v>
      </c>
      <c r="K243" s="10">
        <f t="shared" si="2"/>
        <v>1164.48</v>
      </c>
      <c r="L243" s="10" t="s">
        <v>403</v>
      </c>
      <c r="M243" s="10" t="str">
        <f t="shared" si="3"/>
        <v>MOBILE MONEY</v>
      </c>
      <c r="N243" s="10" t="s">
        <v>32</v>
      </c>
      <c r="O243" s="10" t="str">
        <f t="shared" si="4"/>
        <v>Mobile Money</v>
      </c>
      <c r="P243" s="9" t="s">
        <v>523</v>
      </c>
      <c r="Q243" s="9" t="str">
        <f t="shared" si="5"/>
        <v>No Comments</v>
      </c>
    </row>
    <row r="244" spans="1:17" ht="14.25" customHeight="1">
      <c r="A244" s="8">
        <v>45307</v>
      </c>
      <c r="B244" s="10" t="str">
        <f t="shared" si="0"/>
        <v>SOUTH</v>
      </c>
      <c r="C244" s="10" t="s">
        <v>46</v>
      </c>
      <c r="D244" s="10" t="s">
        <v>28</v>
      </c>
      <c r="E244" s="10" t="str">
        <f t="shared" si="1"/>
        <v>George</v>
      </c>
      <c r="F244" s="10" t="s">
        <v>23</v>
      </c>
      <c r="G244" s="9" t="s">
        <v>37</v>
      </c>
      <c r="H244" s="10" t="s">
        <v>169</v>
      </c>
      <c r="I244" s="10">
        <v>12</v>
      </c>
      <c r="J244" s="10">
        <v>353.76</v>
      </c>
      <c r="K244" s="10">
        <f t="shared" si="2"/>
        <v>4245.12</v>
      </c>
      <c r="L244" s="10" t="s">
        <v>164</v>
      </c>
      <c r="M244" s="9" t="str">
        <f t="shared" si="3"/>
        <v>UNKONWN</v>
      </c>
      <c r="N244" s="9" t="s">
        <v>521</v>
      </c>
      <c r="O244" s="9" t="str">
        <f t="shared" si="4"/>
        <v>Unkonwn</v>
      </c>
      <c r="P244" s="10" t="s">
        <v>33</v>
      </c>
      <c r="Q244" s="10" t="str">
        <f t="shared" si="5"/>
        <v>Priority</v>
      </c>
    </row>
    <row r="245" spans="1:17" ht="14.25" customHeight="1">
      <c r="A245" s="8">
        <v>45358</v>
      </c>
      <c r="B245" s="9" t="str">
        <f t="shared" si="0"/>
        <v>Unknow</v>
      </c>
      <c r="C245" s="9" t="s">
        <v>522</v>
      </c>
      <c r="D245" s="10" t="s">
        <v>28</v>
      </c>
      <c r="E245" s="10" t="str">
        <f t="shared" si="1"/>
        <v>George</v>
      </c>
      <c r="F245" s="10" t="s">
        <v>36</v>
      </c>
      <c r="G245" s="9" t="s">
        <v>15</v>
      </c>
      <c r="H245" s="10" t="s">
        <v>67</v>
      </c>
      <c r="I245" s="10">
        <v>16</v>
      </c>
      <c r="J245" s="10">
        <v>56.8</v>
      </c>
      <c r="K245" s="10">
        <f t="shared" si="2"/>
        <v>908.8</v>
      </c>
      <c r="L245" s="10" t="s">
        <v>164</v>
      </c>
      <c r="M245" s="10" t="str">
        <f t="shared" si="3"/>
        <v>CASH</v>
      </c>
      <c r="N245" s="10" t="s">
        <v>65</v>
      </c>
      <c r="O245" s="10" t="str">
        <f t="shared" si="4"/>
        <v>Cash</v>
      </c>
      <c r="P245" s="10" t="s">
        <v>83</v>
      </c>
      <c r="Q245" s="10" t="str">
        <f t="shared" si="5"/>
        <v>Check Stock</v>
      </c>
    </row>
    <row r="246" spans="1:17" ht="14.25" customHeight="1">
      <c r="A246" s="8">
        <v>45383</v>
      </c>
      <c r="B246" s="9" t="str">
        <f t="shared" si="0"/>
        <v>North</v>
      </c>
      <c r="C246" s="9" t="s">
        <v>12</v>
      </c>
      <c r="D246" s="10" t="s">
        <v>13</v>
      </c>
      <c r="E246" s="10" t="str">
        <f t="shared" si="1"/>
        <v>Faith</v>
      </c>
      <c r="F246" s="10" t="s">
        <v>14</v>
      </c>
      <c r="G246" s="9" t="s">
        <v>521</v>
      </c>
      <c r="H246" s="10" t="s">
        <v>63</v>
      </c>
      <c r="I246" s="10">
        <v>1</v>
      </c>
      <c r="J246" s="10">
        <v>321.99</v>
      </c>
      <c r="K246" s="10">
        <f t="shared" si="2"/>
        <v>321.99</v>
      </c>
      <c r="L246" s="10" t="s">
        <v>342</v>
      </c>
      <c r="M246" s="10" t="str">
        <f t="shared" si="3"/>
        <v>CASH</v>
      </c>
      <c r="N246" s="10" t="s">
        <v>93</v>
      </c>
      <c r="O246" s="10" t="str">
        <f t="shared" si="4"/>
        <v>Cash</v>
      </c>
      <c r="P246" s="10" t="s">
        <v>83</v>
      </c>
      <c r="Q246" s="10" t="str">
        <f t="shared" si="5"/>
        <v>Check Stock</v>
      </c>
    </row>
    <row r="247" spans="1:17" ht="14.25" customHeight="1">
      <c r="A247" s="8">
        <v>45295</v>
      </c>
      <c r="B247" s="9" t="str">
        <f t="shared" si="0"/>
        <v>North</v>
      </c>
      <c r="C247" s="9" t="s">
        <v>12</v>
      </c>
      <c r="D247" s="10" t="s">
        <v>42</v>
      </c>
      <c r="E247" s="10" t="str">
        <f t="shared" si="1"/>
        <v>Alice</v>
      </c>
      <c r="F247" s="10" t="s">
        <v>36</v>
      </c>
      <c r="G247" s="9" t="s">
        <v>37</v>
      </c>
      <c r="H247" s="10" t="s">
        <v>30</v>
      </c>
      <c r="I247" s="10">
        <v>2</v>
      </c>
      <c r="J247" s="10">
        <v>288.87</v>
      </c>
      <c r="K247" s="10">
        <f t="shared" si="2"/>
        <v>577.74</v>
      </c>
      <c r="L247" s="10" t="s">
        <v>394</v>
      </c>
      <c r="M247" s="10" t="str">
        <f t="shared" si="3"/>
        <v>CREDIT CARD</v>
      </c>
      <c r="N247" s="10" t="s">
        <v>75</v>
      </c>
      <c r="O247" s="10" t="str">
        <f t="shared" si="4"/>
        <v>Credit Card</v>
      </c>
      <c r="P247" s="9" t="s">
        <v>523</v>
      </c>
      <c r="Q247" s="9" t="str">
        <f t="shared" si="5"/>
        <v>No Comments</v>
      </c>
    </row>
    <row r="248" spans="1:17" ht="14.25" customHeight="1">
      <c r="A248" s="8">
        <v>45336</v>
      </c>
      <c r="B248" s="10" t="str">
        <f t="shared" si="0"/>
        <v>West</v>
      </c>
      <c r="C248" s="10" t="s">
        <v>54</v>
      </c>
      <c r="D248" s="10" t="s">
        <v>87</v>
      </c>
      <c r="E248" s="10" t="str">
        <f t="shared" si="1"/>
        <v>Ethan</v>
      </c>
      <c r="F248" s="10" t="s">
        <v>47</v>
      </c>
      <c r="G248" s="9" t="s">
        <v>43</v>
      </c>
      <c r="H248" s="10" t="s">
        <v>101</v>
      </c>
      <c r="I248" s="10">
        <v>7</v>
      </c>
      <c r="J248" s="10">
        <v>267.95999999999998</v>
      </c>
      <c r="K248" s="10">
        <f t="shared" si="2"/>
        <v>1875.7199999999998</v>
      </c>
      <c r="L248" s="10" t="s">
        <v>405</v>
      </c>
      <c r="M248" s="9" t="str">
        <f t="shared" si="3"/>
        <v>UNKONWN</v>
      </c>
      <c r="N248" s="9" t="s">
        <v>521</v>
      </c>
      <c r="O248" s="9" t="str">
        <f t="shared" si="4"/>
        <v>Unkonwn</v>
      </c>
      <c r="P248" s="9" t="s">
        <v>523</v>
      </c>
      <c r="Q248" s="9" t="str">
        <f t="shared" si="5"/>
        <v>No Comments</v>
      </c>
    </row>
    <row r="249" spans="1:17" ht="14.25" customHeight="1">
      <c r="A249" s="8">
        <v>45554</v>
      </c>
      <c r="B249" s="10" t="str">
        <f t="shared" si="0"/>
        <v>South</v>
      </c>
      <c r="C249" s="10" t="s">
        <v>21</v>
      </c>
      <c r="D249" s="10" t="s">
        <v>59</v>
      </c>
      <c r="E249" s="10" t="str">
        <f t="shared" si="1"/>
        <v>Charlie</v>
      </c>
      <c r="F249" s="10" t="s">
        <v>50</v>
      </c>
      <c r="G249" s="10" t="s">
        <v>70</v>
      </c>
      <c r="H249" s="10" t="s">
        <v>38</v>
      </c>
      <c r="I249" s="10">
        <v>13</v>
      </c>
      <c r="J249" s="10">
        <v>358.77</v>
      </c>
      <c r="K249" s="10">
        <f t="shared" si="2"/>
        <v>4664.01</v>
      </c>
      <c r="L249" s="10" t="s">
        <v>407</v>
      </c>
      <c r="M249" s="10" t="str">
        <f t="shared" si="3"/>
        <v>CREDIT CARD</v>
      </c>
      <c r="N249" s="10" t="s">
        <v>75</v>
      </c>
      <c r="O249" s="10" t="str">
        <f t="shared" si="4"/>
        <v>Credit Card</v>
      </c>
      <c r="P249" s="9" t="s">
        <v>523</v>
      </c>
      <c r="Q249" s="9" t="str">
        <f t="shared" si="5"/>
        <v>No Comments</v>
      </c>
    </row>
    <row r="250" spans="1:17" ht="14.25" customHeight="1">
      <c r="A250" s="8">
        <v>45323</v>
      </c>
      <c r="B250" s="10" t="str">
        <f t="shared" si="0"/>
        <v>West</v>
      </c>
      <c r="C250" s="10" t="s">
        <v>54</v>
      </c>
      <c r="D250" s="10" t="s">
        <v>87</v>
      </c>
      <c r="E250" s="10" t="str">
        <f t="shared" si="1"/>
        <v>Ethan</v>
      </c>
      <c r="F250" s="10" t="s">
        <v>29</v>
      </c>
      <c r="G250" s="9" t="s">
        <v>37</v>
      </c>
      <c r="H250" s="10" t="s">
        <v>101</v>
      </c>
      <c r="I250" s="10">
        <v>11</v>
      </c>
      <c r="J250" s="10">
        <v>42.68</v>
      </c>
      <c r="K250" s="10">
        <f t="shared" si="2"/>
        <v>469.48</v>
      </c>
      <c r="L250" s="10" t="s">
        <v>173</v>
      </c>
      <c r="M250" s="10" t="str">
        <f t="shared" si="3"/>
        <v>BANK TRANSFER</v>
      </c>
      <c r="N250" s="10" t="s">
        <v>18</v>
      </c>
      <c r="O250" s="10" t="str">
        <f t="shared" si="4"/>
        <v>Bank Transfer</v>
      </c>
      <c r="P250" s="10" t="s">
        <v>19</v>
      </c>
      <c r="Q250" s="10" t="str">
        <f t="shared" si="5"/>
        <v>Double Entry</v>
      </c>
    </row>
    <row r="251" spans="1:17" ht="14.25" customHeight="1">
      <c r="A251" s="8">
        <v>45318</v>
      </c>
      <c r="B251" s="10" t="str">
        <f t="shared" si="0"/>
        <v>East</v>
      </c>
      <c r="C251" s="10" t="s">
        <v>146</v>
      </c>
      <c r="D251" s="10" t="s">
        <v>59</v>
      </c>
      <c r="E251" s="10" t="str">
        <f t="shared" si="1"/>
        <v>Charlie</v>
      </c>
      <c r="F251" s="10" t="s">
        <v>23</v>
      </c>
      <c r="G251" s="9" t="s">
        <v>37</v>
      </c>
      <c r="H251" s="10" t="s">
        <v>183</v>
      </c>
      <c r="I251" s="10">
        <v>8</v>
      </c>
      <c r="J251" s="10">
        <v>59.83</v>
      </c>
      <c r="K251" s="10">
        <f t="shared" si="2"/>
        <v>478.64</v>
      </c>
      <c r="L251" s="10" t="s">
        <v>410</v>
      </c>
      <c r="M251" s="10" t="str">
        <f t="shared" si="3"/>
        <v>CASH</v>
      </c>
      <c r="N251" s="10" t="s">
        <v>65</v>
      </c>
      <c r="O251" s="10" t="str">
        <f t="shared" si="4"/>
        <v>Cash</v>
      </c>
      <c r="P251" s="10" t="s">
        <v>19</v>
      </c>
      <c r="Q251" s="10" t="str">
        <f t="shared" si="5"/>
        <v>Double Entry</v>
      </c>
    </row>
    <row r="252" spans="1:17" ht="14.25" customHeight="1">
      <c r="A252" s="8">
        <v>45547</v>
      </c>
      <c r="B252" s="10" t="str">
        <f t="shared" si="0"/>
        <v>East</v>
      </c>
      <c r="C252" s="10" t="s">
        <v>146</v>
      </c>
      <c r="D252" s="10" t="s">
        <v>42</v>
      </c>
      <c r="E252" s="10" t="str">
        <f t="shared" si="1"/>
        <v>Alice</v>
      </c>
      <c r="F252" s="10" t="s">
        <v>50</v>
      </c>
      <c r="G252" s="9" t="s">
        <v>15</v>
      </c>
      <c r="H252" s="10" t="s">
        <v>67</v>
      </c>
      <c r="I252" s="10">
        <v>12</v>
      </c>
      <c r="J252" s="10">
        <v>38.520000000000003</v>
      </c>
      <c r="K252" s="10">
        <f t="shared" si="2"/>
        <v>462.24</v>
      </c>
      <c r="L252" s="10" t="s">
        <v>113</v>
      </c>
      <c r="M252" s="10" t="str">
        <f t="shared" si="3"/>
        <v>CREDIT CARD</v>
      </c>
      <c r="N252" s="10" t="s">
        <v>75</v>
      </c>
      <c r="O252" s="10" t="str">
        <f t="shared" si="4"/>
        <v>Credit Card</v>
      </c>
      <c r="P252" s="10" t="s">
        <v>52</v>
      </c>
      <c r="Q252" s="10" t="str">
        <f t="shared" si="5"/>
        <v>Follow Up</v>
      </c>
    </row>
    <row r="253" spans="1:17" ht="14.25" customHeight="1">
      <c r="A253" s="8">
        <v>45414</v>
      </c>
      <c r="B253" s="10" t="str">
        <f t="shared" si="0"/>
        <v>East</v>
      </c>
      <c r="C253" s="10" t="s">
        <v>35</v>
      </c>
      <c r="D253" s="10" t="s">
        <v>28</v>
      </c>
      <c r="E253" s="10" t="str">
        <f t="shared" si="1"/>
        <v>George</v>
      </c>
      <c r="F253" s="10" t="s">
        <v>50</v>
      </c>
      <c r="G253" s="10" t="s">
        <v>70</v>
      </c>
      <c r="H253" s="10" t="s">
        <v>112</v>
      </c>
      <c r="I253" s="10">
        <v>10</v>
      </c>
      <c r="J253" s="10">
        <v>491.98</v>
      </c>
      <c r="K253" s="10">
        <f t="shared" si="2"/>
        <v>4919.8</v>
      </c>
      <c r="L253" s="10" t="s">
        <v>97</v>
      </c>
      <c r="M253" s="10" t="str">
        <f t="shared" si="3"/>
        <v>CREDIT CARD</v>
      </c>
      <c r="N253" s="10" t="s">
        <v>75</v>
      </c>
      <c r="O253" s="10" t="str">
        <f t="shared" si="4"/>
        <v>Credit Card</v>
      </c>
      <c r="P253" s="9" t="s">
        <v>523</v>
      </c>
      <c r="Q253" s="9" t="str">
        <f t="shared" si="5"/>
        <v>No Comments</v>
      </c>
    </row>
    <row r="254" spans="1:17" ht="14.25" customHeight="1">
      <c r="A254" s="8">
        <v>45329</v>
      </c>
      <c r="B254" s="10" t="str">
        <f t="shared" si="0"/>
        <v>South</v>
      </c>
      <c r="C254" s="10" t="s">
        <v>21</v>
      </c>
      <c r="D254" s="10" t="s">
        <v>87</v>
      </c>
      <c r="E254" s="10" t="str">
        <f t="shared" si="1"/>
        <v>Ethan</v>
      </c>
      <c r="F254" s="10" t="s">
        <v>36</v>
      </c>
      <c r="G254" s="9" t="s">
        <v>37</v>
      </c>
      <c r="H254" s="10" t="s">
        <v>213</v>
      </c>
      <c r="I254" s="10">
        <v>9</v>
      </c>
      <c r="J254" s="10">
        <v>441.72</v>
      </c>
      <c r="K254" s="10">
        <f t="shared" si="2"/>
        <v>3975.4800000000005</v>
      </c>
      <c r="L254" s="10" t="s">
        <v>307</v>
      </c>
      <c r="M254" s="10" t="str">
        <f t="shared" si="3"/>
        <v>MOBILE MONEY</v>
      </c>
      <c r="N254" s="10" t="s">
        <v>32</v>
      </c>
      <c r="O254" s="10" t="str">
        <f t="shared" si="4"/>
        <v>Mobile Money</v>
      </c>
      <c r="P254" s="10" t="s">
        <v>19</v>
      </c>
      <c r="Q254" s="10" t="str">
        <f t="shared" si="5"/>
        <v>Double Entry</v>
      </c>
    </row>
    <row r="255" spans="1:17" ht="14.25" customHeight="1">
      <c r="A255" s="8">
        <v>45541</v>
      </c>
      <c r="B255" s="9" t="str">
        <f t="shared" si="0"/>
        <v>North</v>
      </c>
      <c r="C255" s="9" t="s">
        <v>12</v>
      </c>
      <c r="D255" s="10" t="s">
        <v>42</v>
      </c>
      <c r="E255" s="10" t="str">
        <f t="shared" si="1"/>
        <v>Alice</v>
      </c>
      <c r="F255" s="10" t="s">
        <v>47</v>
      </c>
      <c r="G255" s="9" t="s">
        <v>37</v>
      </c>
      <c r="H255" s="10" t="s">
        <v>112</v>
      </c>
      <c r="I255" s="10">
        <v>12</v>
      </c>
      <c r="J255" s="10">
        <v>151.94</v>
      </c>
      <c r="K255" s="10">
        <f t="shared" si="2"/>
        <v>1823.28</v>
      </c>
      <c r="L255" s="10" t="s">
        <v>215</v>
      </c>
      <c r="M255" s="10" t="str">
        <f t="shared" si="3"/>
        <v xml:space="preserve">MOBILE MONEY </v>
      </c>
      <c r="N255" s="10" t="s">
        <v>57</v>
      </c>
      <c r="O255" s="10" t="str">
        <f t="shared" si="4"/>
        <v xml:space="preserve">Mobile Money </v>
      </c>
      <c r="P255" s="9" t="s">
        <v>523</v>
      </c>
      <c r="Q255" s="9" t="str">
        <f t="shared" si="5"/>
        <v>No Comments</v>
      </c>
    </row>
    <row r="256" spans="1:17" ht="14.25" customHeight="1">
      <c r="A256" s="8">
        <v>45506</v>
      </c>
      <c r="B256" s="9" t="str">
        <f t="shared" si="0"/>
        <v>North</v>
      </c>
      <c r="C256" s="9" t="s">
        <v>12</v>
      </c>
      <c r="D256" s="10" t="s">
        <v>62</v>
      </c>
      <c r="E256" s="10" t="str">
        <f t="shared" si="1"/>
        <v>Hannah</v>
      </c>
      <c r="F256" s="10" t="s">
        <v>36</v>
      </c>
      <c r="G256" s="10" t="s">
        <v>24</v>
      </c>
      <c r="H256" s="10" t="s">
        <v>88</v>
      </c>
      <c r="I256" s="10">
        <v>2</v>
      </c>
      <c r="J256" s="10">
        <v>193.37</v>
      </c>
      <c r="K256" s="10">
        <f t="shared" si="2"/>
        <v>386.74</v>
      </c>
      <c r="L256" s="10" t="s">
        <v>172</v>
      </c>
      <c r="M256" s="10" t="str">
        <f t="shared" si="3"/>
        <v>CASH</v>
      </c>
      <c r="N256" s="10" t="s">
        <v>93</v>
      </c>
      <c r="O256" s="10" t="str">
        <f t="shared" si="4"/>
        <v>Cash</v>
      </c>
      <c r="P256" s="10" t="s">
        <v>52</v>
      </c>
      <c r="Q256" s="10" t="str">
        <f t="shared" si="5"/>
        <v>Follow Up</v>
      </c>
    </row>
    <row r="257" spans="1:17" ht="14.25" customHeight="1">
      <c r="A257" s="8">
        <v>45415</v>
      </c>
      <c r="B257" s="9" t="str">
        <f t="shared" si="0"/>
        <v>North</v>
      </c>
      <c r="C257" s="9" t="s">
        <v>12</v>
      </c>
      <c r="D257" s="10" t="s">
        <v>22</v>
      </c>
      <c r="E257" s="10" t="str">
        <f t="shared" si="1"/>
        <v>Bob</v>
      </c>
      <c r="F257" s="10" t="s">
        <v>29</v>
      </c>
      <c r="G257" s="10" t="s">
        <v>24</v>
      </c>
      <c r="H257" s="10" t="s">
        <v>88</v>
      </c>
      <c r="I257" s="10">
        <v>13</v>
      </c>
      <c r="J257" s="10">
        <v>349.41</v>
      </c>
      <c r="K257" s="10">
        <f t="shared" si="2"/>
        <v>4542.33</v>
      </c>
      <c r="L257" s="10" t="s">
        <v>415</v>
      </c>
      <c r="M257" s="10" t="str">
        <f t="shared" si="3"/>
        <v>BANK TRANSFER</v>
      </c>
      <c r="N257" s="10" t="s">
        <v>18</v>
      </c>
      <c r="O257" s="10" t="str">
        <f t="shared" si="4"/>
        <v>Bank Transfer</v>
      </c>
      <c r="P257" s="10" t="s">
        <v>83</v>
      </c>
      <c r="Q257" s="10" t="str">
        <f t="shared" si="5"/>
        <v>Check Stock</v>
      </c>
    </row>
    <row r="258" spans="1:17" ht="14.25" customHeight="1">
      <c r="A258" s="8">
        <v>45418</v>
      </c>
      <c r="B258" s="10" t="str">
        <f t="shared" si="0"/>
        <v>SOUTH</v>
      </c>
      <c r="C258" s="10" t="s">
        <v>46</v>
      </c>
      <c r="D258" s="10" t="s">
        <v>59</v>
      </c>
      <c r="E258" s="10" t="str">
        <f t="shared" si="1"/>
        <v>Charlie</v>
      </c>
      <c r="F258" s="10" t="s">
        <v>47</v>
      </c>
      <c r="G258" s="9" t="s">
        <v>43</v>
      </c>
      <c r="H258" s="10" t="s">
        <v>63</v>
      </c>
      <c r="I258" s="10">
        <v>12</v>
      </c>
      <c r="J258" s="10">
        <v>352.56</v>
      </c>
      <c r="K258" s="10">
        <f t="shared" si="2"/>
        <v>4230.72</v>
      </c>
      <c r="L258" s="10" t="s">
        <v>416</v>
      </c>
      <c r="M258" s="10" t="str">
        <f t="shared" si="3"/>
        <v xml:space="preserve">MOBILE MONEY </v>
      </c>
      <c r="N258" s="10" t="s">
        <v>57</v>
      </c>
      <c r="O258" s="10" t="str">
        <f t="shared" si="4"/>
        <v xml:space="preserve">Mobile Money </v>
      </c>
      <c r="P258" s="9" t="s">
        <v>523</v>
      </c>
      <c r="Q258" s="9" t="str">
        <f t="shared" si="5"/>
        <v>No Comments</v>
      </c>
    </row>
    <row r="259" spans="1:17" ht="14.25" customHeight="1">
      <c r="A259" s="8">
        <v>45456</v>
      </c>
      <c r="B259" s="9" t="str">
        <f t="shared" si="0"/>
        <v>North</v>
      </c>
      <c r="C259" s="9" t="s">
        <v>12</v>
      </c>
      <c r="D259" s="10" t="s">
        <v>13</v>
      </c>
      <c r="E259" s="10" t="str">
        <f t="shared" si="1"/>
        <v>Faith</v>
      </c>
      <c r="F259" s="10" t="s">
        <v>23</v>
      </c>
      <c r="G259" s="9" t="s">
        <v>43</v>
      </c>
      <c r="H259" s="10" t="s">
        <v>273</v>
      </c>
      <c r="I259" s="10">
        <v>5</v>
      </c>
      <c r="J259" s="10">
        <v>69.2</v>
      </c>
      <c r="K259" s="10">
        <f t="shared" si="2"/>
        <v>346</v>
      </c>
      <c r="L259" s="10" t="s">
        <v>184</v>
      </c>
      <c r="M259" s="10" t="str">
        <f t="shared" si="3"/>
        <v>MOBILE MONEY</v>
      </c>
      <c r="N259" s="10" t="s">
        <v>32</v>
      </c>
      <c r="O259" s="10" t="str">
        <f t="shared" si="4"/>
        <v>Mobile Money</v>
      </c>
      <c r="P259" s="10" t="s">
        <v>83</v>
      </c>
      <c r="Q259" s="10" t="str">
        <f t="shared" si="5"/>
        <v>Check Stock</v>
      </c>
    </row>
    <row r="260" spans="1:17" ht="14.25" customHeight="1">
      <c r="A260" s="8">
        <v>45500</v>
      </c>
      <c r="B260" s="10" t="str">
        <f t="shared" si="0"/>
        <v>SOUTH</v>
      </c>
      <c r="C260" s="10" t="s">
        <v>46</v>
      </c>
      <c r="D260" s="10" t="s">
        <v>28</v>
      </c>
      <c r="E260" s="10" t="str">
        <f t="shared" si="1"/>
        <v>George</v>
      </c>
      <c r="F260" s="10" t="s">
        <v>36</v>
      </c>
      <c r="G260" s="9" t="s">
        <v>521</v>
      </c>
      <c r="H260" s="10" t="s">
        <v>16</v>
      </c>
      <c r="I260" s="10">
        <v>17</v>
      </c>
      <c r="J260" s="10">
        <v>27.9</v>
      </c>
      <c r="K260" s="10">
        <f t="shared" si="2"/>
        <v>474.29999999999995</v>
      </c>
      <c r="L260" s="10" t="s">
        <v>418</v>
      </c>
      <c r="M260" s="10" t="str">
        <f t="shared" si="3"/>
        <v>CASH</v>
      </c>
      <c r="N260" s="10" t="s">
        <v>93</v>
      </c>
      <c r="O260" s="10" t="str">
        <f t="shared" si="4"/>
        <v>Cash</v>
      </c>
      <c r="P260" s="10" t="s">
        <v>33</v>
      </c>
      <c r="Q260" s="10" t="str">
        <f t="shared" si="5"/>
        <v>Priority</v>
      </c>
    </row>
    <row r="261" spans="1:17" ht="14.25" customHeight="1">
      <c r="A261" s="8">
        <v>45369</v>
      </c>
      <c r="B261" s="9" t="str">
        <f t="shared" si="0"/>
        <v>North</v>
      </c>
      <c r="C261" s="9" t="s">
        <v>12</v>
      </c>
      <c r="D261" s="10" t="s">
        <v>22</v>
      </c>
      <c r="E261" s="10" t="str">
        <f t="shared" si="1"/>
        <v>Bob</v>
      </c>
      <c r="F261" s="10" t="s">
        <v>50</v>
      </c>
      <c r="G261" s="9" t="s">
        <v>43</v>
      </c>
      <c r="H261" s="10" t="s">
        <v>67</v>
      </c>
      <c r="I261" s="10">
        <v>2</v>
      </c>
      <c r="J261" s="10">
        <v>261.97000000000003</v>
      </c>
      <c r="K261" s="10">
        <f t="shared" si="2"/>
        <v>523.94000000000005</v>
      </c>
      <c r="L261" s="10" t="s">
        <v>184</v>
      </c>
      <c r="M261" s="10" t="str">
        <f t="shared" si="3"/>
        <v>BANK TRANSFER</v>
      </c>
      <c r="N261" s="10" t="s">
        <v>18</v>
      </c>
      <c r="O261" s="10" t="str">
        <f t="shared" si="4"/>
        <v>Bank Transfer</v>
      </c>
      <c r="P261" s="10" t="s">
        <v>40</v>
      </c>
      <c r="Q261" s="10" t="str">
        <f t="shared" si="5"/>
        <v>Urgent</v>
      </c>
    </row>
    <row r="262" spans="1:17" ht="14.25" customHeight="1">
      <c r="A262" s="8">
        <v>45525</v>
      </c>
      <c r="B262" s="9" t="str">
        <f t="shared" si="0"/>
        <v>North</v>
      </c>
      <c r="C262" s="9" t="s">
        <v>12</v>
      </c>
      <c r="D262" s="10" t="s">
        <v>62</v>
      </c>
      <c r="E262" s="10" t="str">
        <f t="shared" si="1"/>
        <v>Hannah</v>
      </c>
      <c r="F262" s="10" t="s">
        <v>14</v>
      </c>
      <c r="G262" s="10" t="s">
        <v>70</v>
      </c>
      <c r="H262" s="10" t="s">
        <v>183</v>
      </c>
      <c r="I262" s="10">
        <v>9</v>
      </c>
      <c r="J262" s="10">
        <v>265.8</v>
      </c>
      <c r="K262" s="10">
        <f t="shared" si="2"/>
        <v>2392.2000000000003</v>
      </c>
      <c r="L262" s="10" t="s">
        <v>143</v>
      </c>
      <c r="M262" s="10" t="str">
        <f t="shared" si="3"/>
        <v>CASH</v>
      </c>
      <c r="N262" s="10" t="s">
        <v>65</v>
      </c>
      <c r="O262" s="10" t="str">
        <f t="shared" si="4"/>
        <v>Cash</v>
      </c>
      <c r="P262" s="10" t="s">
        <v>40</v>
      </c>
      <c r="Q262" s="10" t="str">
        <f t="shared" si="5"/>
        <v>Urgent</v>
      </c>
    </row>
    <row r="263" spans="1:17" ht="14.25" customHeight="1">
      <c r="A263" s="8">
        <v>45335</v>
      </c>
      <c r="B263" s="9" t="str">
        <f t="shared" si="0"/>
        <v>Unknow</v>
      </c>
      <c r="C263" s="9" t="s">
        <v>522</v>
      </c>
      <c r="D263" s="10" t="s">
        <v>87</v>
      </c>
      <c r="E263" s="10" t="str">
        <f t="shared" si="1"/>
        <v>Ethan</v>
      </c>
      <c r="F263" s="10" t="s">
        <v>47</v>
      </c>
      <c r="G263" s="9" t="s">
        <v>521</v>
      </c>
      <c r="H263" s="10" t="s">
        <v>127</v>
      </c>
      <c r="I263" s="10">
        <v>11</v>
      </c>
      <c r="J263" s="10">
        <v>391.98</v>
      </c>
      <c r="K263" s="10">
        <f t="shared" si="2"/>
        <v>4311.7800000000007</v>
      </c>
      <c r="L263" s="10" t="s">
        <v>421</v>
      </c>
      <c r="M263" s="10" t="str">
        <f t="shared" si="3"/>
        <v>CASH</v>
      </c>
      <c r="N263" s="10" t="s">
        <v>65</v>
      </c>
      <c r="O263" s="10" t="str">
        <f t="shared" si="4"/>
        <v>Cash</v>
      </c>
      <c r="P263" s="10" t="s">
        <v>33</v>
      </c>
      <c r="Q263" s="10" t="str">
        <f t="shared" si="5"/>
        <v>Priority</v>
      </c>
    </row>
    <row r="264" spans="1:17" ht="14.25" customHeight="1">
      <c r="A264" s="8">
        <v>45503</v>
      </c>
      <c r="B264" s="10" t="str">
        <f t="shared" si="0"/>
        <v>East</v>
      </c>
      <c r="C264" s="10" t="s">
        <v>146</v>
      </c>
      <c r="D264" s="10" t="s">
        <v>13</v>
      </c>
      <c r="E264" s="10" t="str">
        <f t="shared" si="1"/>
        <v>Faith</v>
      </c>
      <c r="F264" s="10" t="s">
        <v>14</v>
      </c>
      <c r="G264" s="10" t="s">
        <v>24</v>
      </c>
      <c r="H264" s="10" t="s">
        <v>273</v>
      </c>
      <c r="I264" s="10">
        <v>14</v>
      </c>
      <c r="J264" s="10">
        <v>14.86</v>
      </c>
      <c r="K264" s="10">
        <f t="shared" si="2"/>
        <v>208.04</v>
      </c>
      <c r="L264" s="10" t="s">
        <v>337</v>
      </c>
      <c r="M264" s="10" t="str">
        <f t="shared" si="3"/>
        <v>CASH</v>
      </c>
      <c r="N264" s="10" t="s">
        <v>93</v>
      </c>
      <c r="O264" s="10" t="str">
        <f t="shared" si="4"/>
        <v>Cash</v>
      </c>
      <c r="P264" s="10" t="s">
        <v>40</v>
      </c>
      <c r="Q264" s="10" t="str">
        <f t="shared" si="5"/>
        <v>Urgent</v>
      </c>
    </row>
    <row r="265" spans="1:17" ht="14.25" customHeight="1">
      <c r="A265" s="8">
        <v>45483</v>
      </c>
      <c r="B265" s="10" t="str">
        <f t="shared" si="0"/>
        <v>East</v>
      </c>
      <c r="C265" s="10" t="s">
        <v>35</v>
      </c>
      <c r="D265" s="10" t="s">
        <v>13</v>
      </c>
      <c r="E265" s="10" t="str">
        <f t="shared" si="1"/>
        <v>Faith</v>
      </c>
      <c r="F265" s="10" t="s">
        <v>23</v>
      </c>
      <c r="G265" s="9" t="s">
        <v>37</v>
      </c>
      <c r="H265" s="10" t="s">
        <v>78</v>
      </c>
      <c r="I265" s="10">
        <v>4</v>
      </c>
      <c r="J265" s="10">
        <v>497.64</v>
      </c>
      <c r="K265" s="10">
        <f t="shared" si="2"/>
        <v>1990.56</v>
      </c>
      <c r="L265" s="10" t="s">
        <v>119</v>
      </c>
      <c r="M265" s="9" t="str">
        <f t="shared" si="3"/>
        <v>UNKONWN</v>
      </c>
      <c r="N265" s="9" t="s">
        <v>521</v>
      </c>
      <c r="O265" s="9" t="str">
        <f t="shared" si="4"/>
        <v>Unkonwn</v>
      </c>
      <c r="P265" s="10" t="s">
        <v>40</v>
      </c>
      <c r="Q265" s="10" t="str">
        <f t="shared" si="5"/>
        <v>Urgent</v>
      </c>
    </row>
    <row r="266" spans="1:17" ht="14.25" customHeight="1">
      <c r="A266" s="8">
        <v>45328</v>
      </c>
      <c r="B266" s="10" t="str">
        <f t="shared" si="0"/>
        <v>East</v>
      </c>
      <c r="C266" s="10" t="s">
        <v>35</v>
      </c>
      <c r="D266" s="10" t="s">
        <v>22</v>
      </c>
      <c r="E266" s="10" t="str">
        <f t="shared" si="1"/>
        <v>Bob</v>
      </c>
      <c r="F266" s="10" t="s">
        <v>23</v>
      </c>
      <c r="G266" s="10" t="s">
        <v>70</v>
      </c>
      <c r="H266" s="10" t="s">
        <v>25</v>
      </c>
      <c r="I266" s="10">
        <v>8</v>
      </c>
      <c r="J266" s="10">
        <v>407.52</v>
      </c>
      <c r="K266" s="10">
        <f t="shared" si="2"/>
        <v>3260.16</v>
      </c>
      <c r="L266" s="10" t="s">
        <v>220</v>
      </c>
      <c r="M266" s="9" t="str">
        <f t="shared" si="3"/>
        <v>UNKONWN</v>
      </c>
      <c r="N266" s="9" t="s">
        <v>521</v>
      </c>
      <c r="O266" s="9" t="str">
        <f t="shared" si="4"/>
        <v>Unkonwn</v>
      </c>
      <c r="P266" s="9" t="s">
        <v>523</v>
      </c>
      <c r="Q266" s="9" t="str">
        <f t="shared" si="5"/>
        <v>No Comments</v>
      </c>
    </row>
    <row r="267" spans="1:17" ht="14.25" customHeight="1">
      <c r="A267" s="8">
        <v>45297</v>
      </c>
      <c r="B267" s="10" t="str">
        <f t="shared" si="0"/>
        <v>South</v>
      </c>
      <c r="C267" s="10" t="s">
        <v>21</v>
      </c>
      <c r="D267" s="10" t="s">
        <v>28</v>
      </c>
      <c r="E267" s="10" t="str">
        <f t="shared" si="1"/>
        <v>George</v>
      </c>
      <c r="F267" s="10" t="s">
        <v>47</v>
      </c>
      <c r="G267" s="9" t="s">
        <v>37</v>
      </c>
      <c r="H267" s="10" t="s">
        <v>127</v>
      </c>
      <c r="I267" s="10">
        <v>19</v>
      </c>
      <c r="J267" s="10">
        <v>408.13</v>
      </c>
      <c r="K267" s="10">
        <f t="shared" si="2"/>
        <v>7754.47</v>
      </c>
      <c r="L267" s="10" t="s">
        <v>329</v>
      </c>
      <c r="M267" s="9" t="str">
        <f t="shared" si="3"/>
        <v>UNKONWN</v>
      </c>
      <c r="N267" s="9" t="s">
        <v>521</v>
      </c>
      <c r="O267" s="9" t="str">
        <f t="shared" si="4"/>
        <v>Unkonwn</v>
      </c>
      <c r="P267" s="10" t="s">
        <v>40</v>
      </c>
      <c r="Q267" s="10" t="str">
        <f t="shared" si="5"/>
        <v>Urgent</v>
      </c>
    </row>
    <row r="268" spans="1:17" ht="14.25" customHeight="1">
      <c r="A268" s="8">
        <v>45450</v>
      </c>
      <c r="B268" s="10" t="str">
        <f t="shared" si="0"/>
        <v>West</v>
      </c>
      <c r="C268" s="10" t="s">
        <v>54</v>
      </c>
      <c r="D268" s="10" t="s">
        <v>87</v>
      </c>
      <c r="E268" s="10" t="str">
        <f t="shared" si="1"/>
        <v>Ethan</v>
      </c>
      <c r="F268" s="10" t="s">
        <v>36</v>
      </c>
      <c r="G268" s="9" t="s">
        <v>521</v>
      </c>
      <c r="H268" s="9" t="s">
        <v>91</v>
      </c>
      <c r="I268" s="10">
        <v>8</v>
      </c>
      <c r="J268" s="10">
        <v>196.53</v>
      </c>
      <c r="K268" s="10">
        <f t="shared" si="2"/>
        <v>1572.24</v>
      </c>
      <c r="L268" s="10" t="s">
        <v>145</v>
      </c>
      <c r="M268" s="10" t="str">
        <f t="shared" si="3"/>
        <v>CREDIT CARD</v>
      </c>
      <c r="N268" s="10" t="s">
        <v>75</v>
      </c>
      <c r="O268" s="10" t="str">
        <f t="shared" si="4"/>
        <v>Credit Card</v>
      </c>
      <c r="P268" s="10" t="s">
        <v>83</v>
      </c>
      <c r="Q268" s="10" t="str">
        <f t="shared" si="5"/>
        <v>Check Stock</v>
      </c>
    </row>
    <row r="269" spans="1:17" ht="14.25" customHeight="1">
      <c r="A269" s="8">
        <v>45522</v>
      </c>
      <c r="B269" s="10" t="str">
        <f t="shared" si="0"/>
        <v>South</v>
      </c>
      <c r="C269" s="10" t="s">
        <v>21</v>
      </c>
      <c r="D269" s="10" t="s">
        <v>62</v>
      </c>
      <c r="E269" s="10" t="str">
        <f t="shared" si="1"/>
        <v>Hannah</v>
      </c>
      <c r="F269" s="10" t="s">
        <v>47</v>
      </c>
      <c r="G269" s="9" t="s">
        <v>37</v>
      </c>
      <c r="H269" s="10" t="s">
        <v>71</v>
      </c>
      <c r="I269" s="10">
        <v>8</v>
      </c>
      <c r="J269" s="10">
        <v>220.22</v>
      </c>
      <c r="K269" s="10">
        <f t="shared" si="2"/>
        <v>1761.76</v>
      </c>
      <c r="L269" s="10" t="s">
        <v>39</v>
      </c>
      <c r="M269" s="9" t="str">
        <f t="shared" si="3"/>
        <v>UNKONWN</v>
      </c>
      <c r="N269" s="9" t="s">
        <v>521</v>
      </c>
      <c r="O269" s="9" t="str">
        <f t="shared" si="4"/>
        <v>Unkonwn</v>
      </c>
      <c r="P269" s="9" t="s">
        <v>523</v>
      </c>
      <c r="Q269" s="9" t="str">
        <f t="shared" si="5"/>
        <v>No Comments</v>
      </c>
    </row>
    <row r="270" spans="1:17" ht="14.25" customHeight="1">
      <c r="A270" s="8">
        <v>45335</v>
      </c>
      <c r="B270" s="10" t="str">
        <f t="shared" si="0"/>
        <v>SOUTH</v>
      </c>
      <c r="C270" s="10" t="s">
        <v>46</v>
      </c>
      <c r="D270" s="10" t="s">
        <v>77</v>
      </c>
      <c r="E270" s="10" t="str">
        <f t="shared" si="1"/>
        <v>Diana</v>
      </c>
      <c r="F270" s="10" t="s">
        <v>29</v>
      </c>
      <c r="G270" s="10" t="s">
        <v>24</v>
      </c>
      <c r="H270" s="10" t="s">
        <v>117</v>
      </c>
      <c r="I270" s="10">
        <v>16</v>
      </c>
      <c r="J270" s="10">
        <v>142.77000000000001</v>
      </c>
      <c r="K270" s="10">
        <f t="shared" si="2"/>
        <v>2284.3200000000002</v>
      </c>
      <c r="L270" s="10" t="s">
        <v>181</v>
      </c>
      <c r="M270" s="10" t="str">
        <f t="shared" si="3"/>
        <v>MOBILE MONEY</v>
      </c>
      <c r="N270" s="10" t="s">
        <v>32</v>
      </c>
      <c r="O270" s="10" t="str">
        <f t="shared" si="4"/>
        <v>Mobile Money</v>
      </c>
      <c r="P270" s="10" t="s">
        <v>83</v>
      </c>
      <c r="Q270" s="10" t="str">
        <f t="shared" si="5"/>
        <v>Check Stock</v>
      </c>
    </row>
    <row r="271" spans="1:17" ht="14.25" customHeight="1">
      <c r="A271" s="8">
        <v>45405</v>
      </c>
      <c r="B271" s="10" t="str">
        <f t="shared" si="0"/>
        <v>West</v>
      </c>
      <c r="C271" s="10" t="s">
        <v>54</v>
      </c>
      <c r="D271" s="10" t="s">
        <v>42</v>
      </c>
      <c r="E271" s="10" t="str">
        <f t="shared" si="1"/>
        <v>Alice</v>
      </c>
      <c r="F271" s="10" t="s">
        <v>36</v>
      </c>
      <c r="G271" s="9" t="s">
        <v>15</v>
      </c>
      <c r="H271" s="10" t="s">
        <v>30</v>
      </c>
      <c r="I271" s="10">
        <v>18</v>
      </c>
      <c r="J271" s="10">
        <v>395.67</v>
      </c>
      <c r="K271" s="10">
        <f t="shared" si="2"/>
        <v>7122.06</v>
      </c>
      <c r="L271" s="10" t="s">
        <v>97</v>
      </c>
      <c r="M271" s="10" t="str">
        <f t="shared" si="3"/>
        <v>BANK TRANSFER</v>
      </c>
      <c r="N271" s="10" t="s">
        <v>18</v>
      </c>
      <c r="O271" s="10" t="str">
        <f t="shared" si="4"/>
        <v>Bank Transfer</v>
      </c>
      <c r="P271" s="9" t="s">
        <v>523</v>
      </c>
      <c r="Q271" s="9" t="str">
        <f t="shared" si="5"/>
        <v>No Comments</v>
      </c>
    </row>
    <row r="272" spans="1:17" ht="14.25" customHeight="1">
      <c r="A272" s="8">
        <v>45359</v>
      </c>
      <c r="B272" s="10" t="str">
        <f t="shared" si="0"/>
        <v>SOUTH</v>
      </c>
      <c r="C272" s="10" t="s">
        <v>46</v>
      </c>
      <c r="D272" s="10" t="s">
        <v>22</v>
      </c>
      <c r="E272" s="10" t="str">
        <f t="shared" si="1"/>
        <v>Bob</v>
      </c>
      <c r="F272" s="10" t="s">
        <v>50</v>
      </c>
      <c r="G272" s="9" t="s">
        <v>15</v>
      </c>
      <c r="H272" s="10" t="s">
        <v>38</v>
      </c>
      <c r="I272" s="10">
        <v>14</v>
      </c>
      <c r="J272" s="10">
        <v>476.09</v>
      </c>
      <c r="K272" s="10">
        <f t="shared" si="2"/>
        <v>6665.2599999999993</v>
      </c>
      <c r="L272" s="10" t="s">
        <v>145</v>
      </c>
      <c r="M272" s="10" t="str">
        <f t="shared" si="3"/>
        <v>CASH</v>
      </c>
      <c r="N272" s="10" t="s">
        <v>93</v>
      </c>
      <c r="O272" s="10" t="str">
        <f t="shared" si="4"/>
        <v>Cash</v>
      </c>
      <c r="P272" s="10" t="s">
        <v>52</v>
      </c>
      <c r="Q272" s="10" t="str">
        <f t="shared" si="5"/>
        <v>Follow Up</v>
      </c>
    </row>
    <row r="273" spans="1:17" ht="14.25" customHeight="1">
      <c r="A273" s="8">
        <v>45448</v>
      </c>
      <c r="B273" s="10" t="str">
        <f t="shared" si="0"/>
        <v>East</v>
      </c>
      <c r="C273" s="10" t="s">
        <v>35</v>
      </c>
      <c r="D273" s="10" t="s">
        <v>77</v>
      </c>
      <c r="E273" s="10" t="str">
        <f t="shared" si="1"/>
        <v>Diana</v>
      </c>
      <c r="F273" s="10" t="s">
        <v>36</v>
      </c>
      <c r="G273" s="9" t="s">
        <v>43</v>
      </c>
      <c r="H273" s="10" t="s">
        <v>213</v>
      </c>
      <c r="I273" s="10">
        <v>17</v>
      </c>
      <c r="J273" s="10">
        <v>340.12</v>
      </c>
      <c r="K273" s="10">
        <f t="shared" si="2"/>
        <v>5782.04</v>
      </c>
      <c r="L273" s="10" t="s">
        <v>427</v>
      </c>
      <c r="M273" s="10" t="str">
        <f t="shared" si="3"/>
        <v>CREDIT CARD</v>
      </c>
      <c r="N273" s="10" t="s">
        <v>75</v>
      </c>
      <c r="O273" s="10" t="str">
        <f t="shared" si="4"/>
        <v>Credit Card</v>
      </c>
      <c r="P273" s="10" t="s">
        <v>40</v>
      </c>
      <c r="Q273" s="10" t="str">
        <f t="shared" si="5"/>
        <v>Urgent</v>
      </c>
    </row>
    <row r="274" spans="1:17" ht="14.25" customHeight="1">
      <c r="A274" s="8">
        <v>45356</v>
      </c>
      <c r="B274" s="10" t="str">
        <f t="shared" si="0"/>
        <v>SOUTH</v>
      </c>
      <c r="C274" s="10" t="s">
        <v>46</v>
      </c>
      <c r="D274" s="10" t="s">
        <v>22</v>
      </c>
      <c r="E274" s="10" t="str">
        <f t="shared" si="1"/>
        <v>Bob</v>
      </c>
      <c r="F274" s="10" t="s">
        <v>29</v>
      </c>
      <c r="G274" s="9" t="s">
        <v>37</v>
      </c>
      <c r="H274" s="10" t="s">
        <v>25</v>
      </c>
      <c r="I274" s="10">
        <v>13</v>
      </c>
      <c r="J274" s="10">
        <v>173.97</v>
      </c>
      <c r="K274" s="10">
        <f t="shared" si="2"/>
        <v>2261.61</v>
      </c>
      <c r="L274" s="10" t="s">
        <v>207</v>
      </c>
      <c r="M274" s="10" t="str">
        <f t="shared" si="3"/>
        <v xml:space="preserve">MOBILE MONEY </v>
      </c>
      <c r="N274" s="10" t="s">
        <v>57</v>
      </c>
      <c r="O274" s="10" t="str">
        <f t="shared" si="4"/>
        <v xml:space="preserve">Mobile Money </v>
      </c>
      <c r="P274" s="10" t="s">
        <v>52</v>
      </c>
      <c r="Q274" s="10" t="str">
        <f t="shared" si="5"/>
        <v>Follow Up</v>
      </c>
    </row>
    <row r="275" spans="1:17" ht="14.25" customHeight="1">
      <c r="A275" s="8">
        <v>45583</v>
      </c>
      <c r="B275" s="10" t="str">
        <f t="shared" si="0"/>
        <v>East</v>
      </c>
      <c r="C275" s="10" t="s">
        <v>35</v>
      </c>
      <c r="D275" s="10" t="s">
        <v>77</v>
      </c>
      <c r="E275" s="10" t="str">
        <f t="shared" si="1"/>
        <v>Diana</v>
      </c>
      <c r="F275" s="10" t="s">
        <v>14</v>
      </c>
      <c r="G275" s="9" t="s">
        <v>15</v>
      </c>
      <c r="H275" s="10" t="s">
        <v>106</v>
      </c>
      <c r="I275" s="10">
        <v>10</v>
      </c>
      <c r="J275" s="10">
        <v>400.71</v>
      </c>
      <c r="K275" s="10">
        <f t="shared" si="2"/>
        <v>4007.1</v>
      </c>
      <c r="L275" s="10" t="s">
        <v>241</v>
      </c>
      <c r="M275" s="10" t="str">
        <f t="shared" si="3"/>
        <v>CASH</v>
      </c>
      <c r="N275" s="10" t="s">
        <v>93</v>
      </c>
      <c r="O275" s="10" t="str">
        <f t="shared" si="4"/>
        <v>Cash</v>
      </c>
      <c r="P275" s="9" t="s">
        <v>523</v>
      </c>
      <c r="Q275" s="9" t="str">
        <f t="shared" si="5"/>
        <v>No Comments</v>
      </c>
    </row>
    <row r="276" spans="1:17" ht="14.25" customHeight="1">
      <c r="A276" s="8">
        <v>45527</v>
      </c>
      <c r="B276" s="10" t="str">
        <f t="shared" si="0"/>
        <v>South</v>
      </c>
      <c r="C276" s="10" t="s">
        <v>21</v>
      </c>
      <c r="D276" s="10" t="s">
        <v>42</v>
      </c>
      <c r="E276" s="10" t="str">
        <f t="shared" si="1"/>
        <v>Alice</v>
      </c>
      <c r="F276" s="10" t="s">
        <v>36</v>
      </c>
      <c r="G276" s="9" t="s">
        <v>43</v>
      </c>
      <c r="H276" s="10" t="s">
        <v>127</v>
      </c>
      <c r="I276" s="10">
        <v>15</v>
      </c>
      <c r="J276" s="10">
        <v>372.46</v>
      </c>
      <c r="K276" s="10">
        <f t="shared" si="2"/>
        <v>5586.9</v>
      </c>
      <c r="L276" s="10" t="s">
        <v>138</v>
      </c>
      <c r="M276" s="9" t="str">
        <f t="shared" si="3"/>
        <v>UNKONWN</v>
      </c>
      <c r="N276" s="9" t="s">
        <v>521</v>
      </c>
      <c r="O276" s="9" t="str">
        <f t="shared" si="4"/>
        <v>Unkonwn</v>
      </c>
      <c r="P276" s="10" t="s">
        <v>40</v>
      </c>
      <c r="Q276" s="10" t="str">
        <f t="shared" si="5"/>
        <v>Urgent</v>
      </c>
    </row>
    <row r="277" spans="1:17" ht="14.25" customHeight="1">
      <c r="A277" s="8">
        <v>45510</v>
      </c>
      <c r="B277" s="10" t="str">
        <f t="shared" si="0"/>
        <v>East</v>
      </c>
      <c r="C277" s="10" t="s">
        <v>35</v>
      </c>
      <c r="D277" s="10" t="s">
        <v>22</v>
      </c>
      <c r="E277" s="10" t="str">
        <f t="shared" si="1"/>
        <v>Bob</v>
      </c>
      <c r="F277" s="10" t="s">
        <v>23</v>
      </c>
      <c r="G277" s="9" t="s">
        <v>43</v>
      </c>
      <c r="H277" s="10" t="s">
        <v>55</v>
      </c>
      <c r="I277" s="10">
        <v>12</v>
      </c>
      <c r="J277" s="10">
        <v>57.88</v>
      </c>
      <c r="K277" s="10">
        <f t="shared" si="2"/>
        <v>694.56000000000006</v>
      </c>
      <c r="L277" s="10" t="s">
        <v>285</v>
      </c>
      <c r="M277" s="9" t="str">
        <f t="shared" si="3"/>
        <v>UNKONWN</v>
      </c>
      <c r="N277" s="9" t="s">
        <v>521</v>
      </c>
      <c r="O277" s="9" t="str">
        <f t="shared" si="4"/>
        <v>Unkonwn</v>
      </c>
      <c r="P277" s="10" t="s">
        <v>19</v>
      </c>
      <c r="Q277" s="10" t="str">
        <f t="shared" si="5"/>
        <v>Double Entry</v>
      </c>
    </row>
    <row r="278" spans="1:17" ht="14.25" customHeight="1">
      <c r="A278" s="8">
        <v>45501</v>
      </c>
      <c r="B278" s="10" t="str">
        <f t="shared" si="0"/>
        <v>South</v>
      </c>
      <c r="C278" s="10" t="s">
        <v>21</v>
      </c>
      <c r="D278" s="10" t="s">
        <v>13</v>
      </c>
      <c r="E278" s="10" t="str">
        <f t="shared" si="1"/>
        <v>Faith</v>
      </c>
      <c r="F278" s="10" t="s">
        <v>50</v>
      </c>
      <c r="G278" s="10" t="s">
        <v>24</v>
      </c>
      <c r="H278" s="10" t="s">
        <v>183</v>
      </c>
      <c r="I278" s="10">
        <v>17</v>
      </c>
      <c r="J278" s="10">
        <v>120.29</v>
      </c>
      <c r="K278" s="10">
        <f t="shared" si="2"/>
        <v>2044.93</v>
      </c>
      <c r="L278" s="10" t="s">
        <v>430</v>
      </c>
      <c r="M278" s="10" t="str">
        <f t="shared" si="3"/>
        <v>MOBILE MONEY</v>
      </c>
      <c r="N278" s="10" t="s">
        <v>32</v>
      </c>
      <c r="O278" s="10" t="str">
        <f t="shared" si="4"/>
        <v>Mobile Money</v>
      </c>
      <c r="P278" s="9" t="s">
        <v>523</v>
      </c>
      <c r="Q278" s="9" t="str">
        <f t="shared" si="5"/>
        <v>No Comments</v>
      </c>
    </row>
    <row r="279" spans="1:17" ht="14.25" customHeight="1">
      <c r="A279" s="8">
        <v>45404</v>
      </c>
      <c r="B279" s="10" t="str">
        <f t="shared" si="0"/>
        <v>SOUTH</v>
      </c>
      <c r="C279" s="10" t="s">
        <v>46</v>
      </c>
      <c r="D279" s="10" t="s">
        <v>28</v>
      </c>
      <c r="E279" s="10" t="str">
        <f t="shared" si="1"/>
        <v>George</v>
      </c>
      <c r="F279" s="10" t="s">
        <v>29</v>
      </c>
      <c r="G279" s="9" t="s">
        <v>37</v>
      </c>
      <c r="H279" s="10" t="s">
        <v>38</v>
      </c>
      <c r="I279" s="10">
        <v>2</v>
      </c>
      <c r="J279" s="10">
        <v>39.700000000000003</v>
      </c>
      <c r="K279" s="10">
        <f t="shared" si="2"/>
        <v>79.400000000000006</v>
      </c>
      <c r="L279" s="10" t="s">
        <v>394</v>
      </c>
      <c r="M279" s="9" t="str">
        <f t="shared" si="3"/>
        <v>UNKONWN</v>
      </c>
      <c r="N279" s="9" t="s">
        <v>521</v>
      </c>
      <c r="O279" s="9" t="str">
        <f t="shared" si="4"/>
        <v>Unkonwn</v>
      </c>
      <c r="P279" s="10" t="s">
        <v>19</v>
      </c>
      <c r="Q279" s="10" t="str">
        <f t="shared" si="5"/>
        <v>Double Entry</v>
      </c>
    </row>
    <row r="280" spans="1:17" ht="14.25" customHeight="1">
      <c r="A280" s="8">
        <v>45370</v>
      </c>
      <c r="B280" s="10" t="str">
        <f t="shared" si="0"/>
        <v>East</v>
      </c>
      <c r="C280" s="10" t="s">
        <v>146</v>
      </c>
      <c r="D280" s="10" t="s">
        <v>22</v>
      </c>
      <c r="E280" s="10" t="str">
        <f t="shared" si="1"/>
        <v>Bob</v>
      </c>
      <c r="F280" s="10" t="s">
        <v>36</v>
      </c>
      <c r="G280" s="10" t="s">
        <v>70</v>
      </c>
      <c r="H280" s="10" t="s">
        <v>16</v>
      </c>
      <c r="I280" s="10">
        <v>7</v>
      </c>
      <c r="J280" s="10">
        <v>448.09</v>
      </c>
      <c r="K280" s="10">
        <f t="shared" si="2"/>
        <v>3136.6299999999997</v>
      </c>
      <c r="L280" s="10" t="s">
        <v>147</v>
      </c>
      <c r="M280" s="10" t="str">
        <f t="shared" si="3"/>
        <v>BANK TRANSFER</v>
      </c>
      <c r="N280" s="10" t="s">
        <v>18</v>
      </c>
      <c r="O280" s="10" t="str">
        <f t="shared" si="4"/>
        <v>Bank Transfer</v>
      </c>
      <c r="P280" s="10" t="s">
        <v>52</v>
      </c>
      <c r="Q280" s="10" t="str">
        <f t="shared" si="5"/>
        <v>Follow Up</v>
      </c>
    </row>
    <row r="281" spans="1:17" ht="14.25" customHeight="1">
      <c r="A281" s="8">
        <v>45339</v>
      </c>
      <c r="B281" s="10" t="str">
        <f t="shared" si="0"/>
        <v>West</v>
      </c>
      <c r="C281" s="10" t="s">
        <v>54</v>
      </c>
      <c r="D281" s="10" t="s">
        <v>62</v>
      </c>
      <c r="E281" s="10" t="str">
        <f t="shared" si="1"/>
        <v>Hannah</v>
      </c>
      <c r="F281" s="10" t="s">
        <v>50</v>
      </c>
      <c r="G281" s="9" t="s">
        <v>37</v>
      </c>
      <c r="H281" s="10" t="s">
        <v>78</v>
      </c>
      <c r="I281" s="10">
        <v>1</v>
      </c>
      <c r="J281" s="10">
        <v>294.95999999999998</v>
      </c>
      <c r="K281" s="10">
        <f t="shared" si="2"/>
        <v>294.95999999999998</v>
      </c>
      <c r="L281" s="10" t="s">
        <v>407</v>
      </c>
      <c r="M281" s="10" t="str">
        <f t="shared" si="3"/>
        <v>CREDIT CARD</v>
      </c>
      <c r="N281" s="10" t="s">
        <v>75</v>
      </c>
      <c r="O281" s="10" t="str">
        <f t="shared" si="4"/>
        <v>Credit Card</v>
      </c>
      <c r="P281" s="10" t="s">
        <v>19</v>
      </c>
      <c r="Q281" s="10" t="str">
        <f t="shared" si="5"/>
        <v>Double Entry</v>
      </c>
    </row>
    <row r="282" spans="1:17" ht="14.25" customHeight="1">
      <c r="A282" s="8">
        <v>45309</v>
      </c>
      <c r="B282" s="10" t="str">
        <f t="shared" si="0"/>
        <v>West</v>
      </c>
      <c r="C282" s="10" t="s">
        <v>54</v>
      </c>
      <c r="D282" s="10" t="s">
        <v>87</v>
      </c>
      <c r="E282" s="10" t="str">
        <f t="shared" si="1"/>
        <v>Ethan</v>
      </c>
      <c r="F282" s="10" t="s">
        <v>23</v>
      </c>
      <c r="G282" s="9" t="s">
        <v>15</v>
      </c>
      <c r="H282" s="10" t="s">
        <v>106</v>
      </c>
      <c r="I282" s="10">
        <v>2</v>
      </c>
      <c r="J282" s="10">
        <v>85.27</v>
      </c>
      <c r="K282" s="10">
        <f t="shared" si="2"/>
        <v>170.54</v>
      </c>
      <c r="L282" s="10" t="s">
        <v>344</v>
      </c>
      <c r="M282" s="10" t="str">
        <f t="shared" si="3"/>
        <v>CREDIT CARD</v>
      </c>
      <c r="N282" s="10" t="s">
        <v>75</v>
      </c>
      <c r="O282" s="10" t="str">
        <f t="shared" si="4"/>
        <v>Credit Card</v>
      </c>
      <c r="P282" s="9" t="s">
        <v>523</v>
      </c>
      <c r="Q282" s="9" t="str">
        <f t="shared" si="5"/>
        <v>No Comments</v>
      </c>
    </row>
    <row r="283" spans="1:17" ht="14.25" customHeight="1">
      <c r="A283" s="8">
        <v>45343</v>
      </c>
      <c r="B283" s="9" t="str">
        <f t="shared" si="0"/>
        <v>North</v>
      </c>
      <c r="C283" s="9" t="s">
        <v>12</v>
      </c>
      <c r="D283" s="10" t="s">
        <v>87</v>
      </c>
      <c r="E283" s="10" t="str">
        <f t="shared" si="1"/>
        <v>Ethan</v>
      </c>
      <c r="F283" s="10" t="s">
        <v>50</v>
      </c>
      <c r="G283" s="9" t="s">
        <v>15</v>
      </c>
      <c r="H283" s="10" t="s">
        <v>106</v>
      </c>
      <c r="I283" s="10">
        <v>14</v>
      </c>
      <c r="J283" s="10">
        <v>245.09</v>
      </c>
      <c r="K283" s="10">
        <f t="shared" si="2"/>
        <v>3431.26</v>
      </c>
      <c r="L283" s="10" t="s">
        <v>432</v>
      </c>
      <c r="M283" s="10" t="str">
        <f t="shared" si="3"/>
        <v>CASH</v>
      </c>
      <c r="N283" s="10" t="s">
        <v>93</v>
      </c>
      <c r="O283" s="10" t="str">
        <f t="shared" si="4"/>
        <v>Cash</v>
      </c>
      <c r="P283" s="9" t="s">
        <v>523</v>
      </c>
      <c r="Q283" s="9" t="str">
        <f t="shared" si="5"/>
        <v>No Comments</v>
      </c>
    </row>
    <row r="284" spans="1:17" ht="14.25" customHeight="1">
      <c r="A284" s="8">
        <v>45433</v>
      </c>
      <c r="B284" s="9" t="str">
        <f t="shared" si="0"/>
        <v>Unknow</v>
      </c>
      <c r="C284" s="9" t="s">
        <v>522</v>
      </c>
      <c r="D284" s="10" t="s">
        <v>87</v>
      </c>
      <c r="E284" s="10" t="str">
        <f t="shared" si="1"/>
        <v>Ethan</v>
      </c>
      <c r="F284" s="10" t="s">
        <v>47</v>
      </c>
      <c r="G284" s="10" t="s">
        <v>24</v>
      </c>
      <c r="H284" s="10" t="s">
        <v>112</v>
      </c>
      <c r="I284" s="10">
        <v>5</v>
      </c>
      <c r="J284" s="10">
        <v>32.17</v>
      </c>
      <c r="K284" s="10">
        <f t="shared" si="2"/>
        <v>160.85000000000002</v>
      </c>
      <c r="L284" s="10" t="s">
        <v>202</v>
      </c>
      <c r="M284" s="10" t="str">
        <f t="shared" si="3"/>
        <v xml:space="preserve">MOBILE MONEY </v>
      </c>
      <c r="N284" s="10" t="s">
        <v>57</v>
      </c>
      <c r="O284" s="10" t="str">
        <f t="shared" si="4"/>
        <v xml:space="preserve">Mobile Money </v>
      </c>
      <c r="P284" s="10" t="s">
        <v>83</v>
      </c>
      <c r="Q284" s="10" t="str">
        <f t="shared" si="5"/>
        <v>Check Stock</v>
      </c>
    </row>
    <row r="285" spans="1:17" ht="14.25" customHeight="1">
      <c r="A285" s="8">
        <v>45532</v>
      </c>
      <c r="B285" s="10" t="str">
        <f t="shared" si="0"/>
        <v>East</v>
      </c>
      <c r="C285" s="10" t="s">
        <v>146</v>
      </c>
      <c r="D285" s="10" t="s">
        <v>59</v>
      </c>
      <c r="E285" s="10" t="str">
        <f t="shared" si="1"/>
        <v>Charlie</v>
      </c>
      <c r="F285" s="10" t="s">
        <v>50</v>
      </c>
      <c r="G285" s="9" t="s">
        <v>37</v>
      </c>
      <c r="H285" s="10" t="s">
        <v>30</v>
      </c>
      <c r="I285" s="10">
        <v>11</v>
      </c>
      <c r="J285" s="10">
        <v>489.84</v>
      </c>
      <c r="K285" s="10">
        <f t="shared" si="2"/>
        <v>5388.24</v>
      </c>
      <c r="L285" s="10" t="s">
        <v>433</v>
      </c>
      <c r="M285" s="10" t="str">
        <f t="shared" si="3"/>
        <v>BANK TRANSFER</v>
      </c>
      <c r="N285" s="10" t="s">
        <v>18</v>
      </c>
      <c r="O285" s="10" t="str">
        <f t="shared" si="4"/>
        <v>Bank Transfer</v>
      </c>
      <c r="P285" s="9" t="s">
        <v>523</v>
      </c>
      <c r="Q285" s="9" t="str">
        <f t="shared" si="5"/>
        <v>No Comments</v>
      </c>
    </row>
    <row r="286" spans="1:17" ht="14.25" customHeight="1">
      <c r="A286" s="8">
        <v>45535</v>
      </c>
      <c r="B286" s="10" t="str">
        <f t="shared" si="0"/>
        <v>South</v>
      </c>
      <c r="C286" s="10" t="s">
        <v>21</v>
      </c>
      <c r="D286" s="10" t="s">
        <v>42</v>
      </c>
      <c r="E286" s="10" t="str">
        <f t="shared" si="1"/>
        <v>Alice</v>
      </c>
      <c r="F286" s="10" t="s">
        <v>29</v>
      </c>
      <c r="G286" s="9" t="s">
        <v>43</v>
      </c>
      <c r="H286" s="10" t="s">
        <v>67</v>
      </c>
      <c r="I286" s="10">
        <v>12</v>
      </c>
      <c r="J286" s="10">
        <v>44.86</v>
      </c>
      <c r="K286" s="10">
        <f t="shared" si="2"/>
        <v>538.31999999999994</v>
      </c>
      <c r="L286" s="10" t="s">
        <v>145</v>
      </c>
      <c r="M286" s="10" t="str">
        <f t="shared" si="3"/>
        <v>BANK TRANSFER</v>
      </c>
      <c r="N286" s="10" t="s">
        <v>18</v>
      </c>
      <c r="O286" s="10" t="str">
        <f t="shared" si="4"/>
        <v>Bank Transfer</v>
      </c>
      <c r="P286" s="10" t="s">
        <v>52</v>
      </c>
      <c r="Q286" s="10" t="str">
        <f t="shared" si="5"/>
        <v>Follow Up</v>
      </c>
    </row>
    <row r="287" spans="1:17" ht="14.25" customHeight="1">
      <c r="A287" s="8">
        <v>45590</v>
      </c>
      <c r="B287" s="10" t="str">
        <f t="shared" si="0"/>
        <v>South</v>
      </c>
      <c r="C287" s="10" t="s">
        <v>21</v>
      </c>
      <c r="D287" s="10" t="s">
        <v>77</v>
      </c>
      <c r="E287" s="10" t="str">
        <f t="shared" si="1"/>
        <v>Diana</v>
      </c>
      <c r="F287" s="10" t="s">
        <v>29</v>
      </c>
      <c r="G287" s="9" t="s">
        <v>37</v>
      </c>
      <c r="H287" s="10" t="s">
        <v>71</v>
      </c>
      <c r="I287" s="10">
        <v>1</v>
      </c>
      <c r="J287" s="10">
        <v>259.83</v>
      </c>
      <c r="K287" s="10">
        <f t="shared" si="2"/>
        <v>259.83</v>
      </c>
      <c r="L287" s="10" t="s">
        <v>434</v>
      </c>
      <c r="M287" s="10" t="str">
        <f t="shared" si="3"/>
        <v>MOBILE MONEY</v>
      </c>
      <c r="N287" s="10" t="s">
        <v>32</v>
      </c>
      <c r="O287" s="10" t="str">
        <f t="shared" si="4"/>
        <v>Mobile Money</v>
      </c>
      <c r="P287" s="10" t="s">
        <v>83</v>
      </c>
      <c r="Q287" s="10" t="str">
        <f t="shared" si="5"/>
        <v>Check Stock</v>
      </c>
    </row>
    <row r="288" spans="1:17" ht="14.25" customHeight="1">
      <c r="A288" s="8">
        <v>45545</v>
      </c>
      <c r="B288" s="9" t="str">
        <f t="shared" si="0"/>
        <v>North</v>
      </c>
      <c r="C288" s="9" t="s">
        <v>12</v>
      </c>
      <c r="D288" s="10" t="s">
        <v>13</v>
      </c>
      <c r="E288" s="10" t="str">
        <f t="shared" si="1"/>
        <v>Faith</v>
      </c>
      <c r="F288" s="10" t="s">
        <v>50</v>
      </c>
      <c r="G288" s="9" t="s">
        <v>15</v>
      </c>
      <c r="H288" s="10" t="s">
        <v>273</v>
      </c>
      <c r="I288" s="10">
        <v>6</v>
      </c>
      <c r="J288" s="10">
        <v>209.91</v>
      </c>
      <c r="K288" s="10">
        <f t="shared" si="2"/>
        <v>1259.46</v>
      </c>
      <c r="L288" s="10" t="s">
        <v>436</v>
      </c>
      <c r="M288" s="10" t="str">
        <f t="shared" si="3"/>
        <v>BANK TRANSFER</v>
      </c>
      <c r="N288" s="10" t="s">
        <v>18</v>
      </c>
      <c r="O288" s="10" t="str">
        <f t="shared" si="4"/>
        <v>Bank Transfer</v>
      </c>
      <c r="P288" s="9" t="s">
        <v>523</v>
      </c>
      <c r="Q288" s="9" t="str">
        <f t="shared" si="5"/>
        <v>No Comments</v>
      </c>
    </row>
    <row r="289" spans="1:17" ht="14.25" customHeight="1">
      <c r="A289" s="8">
        <v>45476</v>
      </c>
      <c r="B289" s="9" t="str">
        <f t="shared" si="0"/>
        <v>North</v>
      </c>
      <c r="C289" s="9" t="s">
        <v>12</v>
      </c>
      <c r="D289" s="10" t="s">
        <v>13</v>
      </c>
      <c r="E289" s="10" t="str">
        <f t="shared" si="1"/>
        <v>Faith</v>
      </c>
      <c r="F289" s="10" t="s">
        <v>36</v>
      </c>
      <c r="G289" s="9" t="s">
        <v>43</v>
      </c>
      <c r="H289" s="9" t="s">
        <v>91</v>
      </c>
      <c r="I289" s="10">
        <v>2</v>
      </c>
      <c r="J289" s="10">
        <v>178.27</v>
      </c>
      <c r="K289" s="10">
        <f t="shared" si="2"/>
        <v>356.54</v>
      </c>
      <c r="L289" s="10" t="s">
        <v>438</v>
      </c>
      <c r="M289" s="10" t="str">
        <f t="shared" si="3"/>
        <v>CREDIT CARD</v>
      </c>
      <c r="N289" s="10" t="s">
        <v>75</v>
      </c>
      <c r="O289" s="10" t="str">
        <f t="shared" si="4"/>
        <v>Credit Card</v>
      </c>
      <c r="P289" s="9" t="s">
        <v>523</v>
      </c>
      <c r="Q289" s="9" t="str">
        <f t="shared" si="5"/>
        <v>No Comments</v>
      </c>
    </row>
    <row r="290" spans="1:17" ht="14.25" customHeight="1">
      <c r="A290" s="8">
        <v>45456</v>
      </c>
      <c r="B290" s="10" t="str">
        <f t="shared" si="0"/>
        <v>SOUTH</v>
      </c>
      <c r="C290" s="10" t="s">
        <v>46</v>
      </c>
      <c r="D290" s="10" t="s">
        <v>42</v>
      </c>
      <c r="E290" s="10" t="str">
        <f t="shared" si="1"/>
        <v>Alice</v>
      </c>
      <c r="F290" s="10" t="s">
        <v>29</v>
      </c>
      <c r="G290" s="9" t="s">
        <v>43</v>
      </c>
      <c r="H290" s="10" t="s">
        <v>55</v>
      </c>
      <c r="I290" s="10">
        <v>12</v>
      </c>
      <c r="J290" s="10">
        <v>92.36</v>
      </c>
      <c r="K290" s="10">
        <f t="shared" si="2"/>
        <v>1108.32</v>
      </c>
      <c r="L290" s="10" t="s">
        <v>261</v>
      </c>
      <c r="M290" s="10" t="str">
        <f t="shared" si="3"/>
        <v>CASH</v>
      </c>
      <c r="N290" s="10" t="s">
        <v>93</v>
      </c>
      <c r="O290" s="10" t="str">
        <f t="shared" si="4"/>
        <v>Cash</v>
      </c>
      <c r="P290" s="9" t="s">
        <v>523</v>
      </c>
      <c r="Q290" s="9" t="str">
        <f t="shared" si="5"/>
        <v>No Comments</v>
      </c>
    </row>
    <row r="291" spans="1:17" ht="14.25" customHeight="1">
      <c r="A291" s="8">
        <v>45442</v>
      </c>
      <c r="B291" s="10" t="str">
        <f t="shared" si="0"/>
        <v>South</v>
      </c>
      <c r="C291" s="10" t="s">
        <v>21</v>
      </c>
      <c r="D291" s="10" t="s">
        <v>77</v>
      </c>
      <c r="E291" s="10" t="str">
        <f t="shared" si="1"/>
        <v>Diana</v>
      </c>
      <c r="F291" s="10" t="s">
        <v>29</v>
      </c>
      <c r="G291" s="9" t="s">
        <v>15</v>
      </c>
      <c r="H291" s="10" t="s">
        <v>127</v>
      </c>
      <c r="I291" s="10">
        <v>18</v>
      </c>
      <c r="J291" s="10">
        <v>459.02</v>
      </c>
      <c r="K291" s="10">
        <f t="shared" si="2"/>
        <v>8262.36</v>
      </c>
      <c r="L291" s="10" t="s">
        <v>342</v>
      </c>
      <c r="M291" s="10" t="str">
        <f t="shared" si="3"/>
        <v>CREDIT CARD</v>
      </c>
      <c r="N291" s="10" t="s">
        <v>75</v>
      </c>
      <c r="O291" s="10" t="str">
        <f t="shared" si="4"/>
        <v>Credit Card</v>
      </c>
      <c r="P291" s="10" t="s">
        <v>83</v>
      </c>
      <c r="Q291" s="10" t="str">
        <f t="shared" si="5"/>
        <v>Check Stock</v>
      </c>
    </row>
    <row r="292" spans="1:17" ht="14.25" customHeight="1">
      <c r="A292" s="8">
        <v>45340</v>
      </c>
      <c r="B292" s="9" t="str">
        <f t="shared" si="0"/>
        <v>North</v>
      </c>
      <c r="C292" s="9" t="s">
        <v>12</v>
      </c>
      <c r="D292" s="10" t="s">
        <v>59</v>
      </c>
      <c r="E292" s="10" t="str">
        <f t="shared" si="1"/>
        <v>Charlie</v>
      </c>
      <c r="F292" s="10" t="s">
        <v>14</v>
      </c>
      <c r="G292" s="9" t="s">
        <v>15</v>
      </c>
      <c r="H292" s="10" t="s">
        <v>38</v>
      </c>
      <c r="I292" s="10">
        <v>1</v>
      </c>
      <c r="J292" s="10">
        <v>74.69</v>
      </c>
      <c r="K292" s="10">
        <f t="shared" si="2"/>
        <v>74.69</v>
      </c>
      <c r="L292" s="10" t="s">
        <v>160</v>
      </c>
      <c r="M292" s="10" t="str">
        <f t="shared" si="3"/>
        <v>CASH</v>
      </c>
      <c r="N292" s="10" t="s">
        <v>65</v>
      </c>
      <c r="O292" s="10" t="str">
        <f t="shared" si="4"/>
        <v>Cash</v>
      </c>
      <c r="P292" s="10" t="s">
        <v>83</v>
      </c>
      <c r="Q292" s="10" t="str">
        <f t="shared" si="5"/>
        <v>Check Stock</v>
      </c>
    </row>
    <row r="293" spans="1:17" ht="14.25" customHeight="1">
      <c r="A293" s="8">
        <v>45295</v>
      </c>
      <c r="B293" s="10" t="str">
        <f t="shared" si="0"/>
        <v>South</v>
      </c>
      <c r="C293" s="10" t="s">
        <v>21</v>
      </c>
      <c r="D293" s="10" t="s">
        <v>13</v>
      </c>
      <c r="E293" s="10" t="str">
        <f t="shared" si="1"/>
        <v>Faith</v>
      </c>
      <c r="F293" s="10" t="s">
        <v>29</v>
      </c>
      <c r="G293" s="9" t="s">
        <v>43</v>
      </c>
      <c r="H293" s="10" t="s">
        <v>106</v>
      </c>
      <c r="I293" s="10">
        <v>5</v>
      </c>
      <c r="J293" s="10">
        <v>467.9</v>
      </c>
      <c r="K293" s="10">
        <f t="shared" si="2"/>
        <v>2339.5</v>
      </c>
      <c r="L293" s="10" t="s">
        <v>321</v>
      </c>
      <c r="M293" s="9" t="str">
        <f t="shared" si="3"/>
        <v>UNKONWN</v>
      </c>
      <c r="N293" s="9" t="s">
        <v>521</v>
      </c>
      <c r="O293" s="9" t="str">
        <f t="shared" si="4"/>
        <v>Unkonwn</v>
      </c>
      <c r="P293" s="9" t="s">
        <v>523</v>
      </c>
      <c r="Q293" s="9" t="str">
        <f t="shared" si="5"/>
        <v>No Comments</v>
      </c>
    </row>
    <row r="294" spans="1:17" ht="14.25" customHeight="1">
      <c r="A294" s="8">
        <v>45387</v>
      </c>
      <c r="B294" s="9" t="str">
        <f t="shared" si="0"/>
        <v>North</v>
      </c>
      <c r="C294" s="9" t="s">
        <v>12</v>
      </c>
      <c r="D294" s="10" t="s">
        <v>28</v>
      </c>
      <c r="E294" s="10" t="str">
        <f t="shared" si="1"/>
        <v>George</v>
      </c>
      <c r="F294" s="10" t="s">
        <v>36</v>
      </c>
      <c r="G294" s="9" t="s">
        <v>521</v>
      </c>
      <c r="H294" s="10" t="s">
        <v>67</v>
      </c>
      <c r="I294" s="10">
        <v>14</v>
      </c>
      <c r="J294" s="10">
        <v>398.49</v>
      </c>
      <c r="K294" s="10">
        <f t="shared" si="2"/>
        <v>5578.8600000000006</v>
      </c>
      <c r="L294" s="10" t="s">
        <v>26</v>
      </c>
      <c r="M294" s="10" t="str">
        <f t="shared" si="3"/>
        <v>CASH</v>
      </c>
      <c r="N294" s="10" t="s">
        <v>93</v>
      </c>
      <c r="O294" s="10" t="str">
        <f t="shared" si="4"/>
        <v>Cash</v>
      </c>
      <c r="P294" s="10" t="s">
        <v>83</v>
      </c>
      <c r="Q294" s="10" t="str">
        <f t="shared" si="5"/>
        <v>Check Stock</v>
      </c>
    </row>
    <row r="295" spans="1:17" ht="14.25" customHeight="1">
      <c r="A295" s="8">
        <v>45485</v>
      </c>
      <c r="B295" s="10" t="str">
        <f t="shared" si="0"/>
        <v>West</v>
      </c>
      <c r="C295" s="10" t="s">
        <v>54</v>
      </c>
      <c r="D295" s="10" t="s">
        <v>77</v>
      </c>
      <c r="E295" s="10" t="str">
        <f t="shared" si="1"/>
        <v>Diana</v>
      </c>
      <c r="F295" s="10" t="s">
        <v>47</v>
      </c>
      <c r="G295" s="9" t="s">
        <v>15</v>
      </c>
      <c r="H295" s="10" t="s">
        <v>127</v>
      </c>
      <c r="I295" s="10">
        <v>18</v>
      </c>
      <c r="J295" s="10">
        <v>368.72</v>
      </c>
      <c r="K295" s="10">
        <f t="shared" si="2"/>
        <v>6636.9600000000009</v>
      </c>
      <c r="L295" s="10" t="s">
        <v>440</v>
      </c>
      <c r="M295" s="10" t="str">
        <f t="shared" si="3"/>
        <v>CREDIT CARD</v>
      </c>
      <c r="N295" s="10" t="s">
        <v>75</v>
      </c>
      <c r="O295" s="10" t="str">
        <f t="shared" si="4"/>
        <v>Credit Card</v>
      </c>
      <c r="P295" s="10" t="s">
        <v>19</v>
      </c>
      <c r="Q295" s="10" t="str">
        <f t="shared" si="5"/>
        <v>Double Entry</v>
      </c>
    </row>
    <row r="296" spans="1:17" ht="14.25" customHeight="1">
      <c r="A296" s="8">
        <v>45394</v>
      </c>
      <c r="B296" s="10" t="str">
        <f t="shared" si="0"/>
        <v>West</v>
      </c>
      <c r="C296" s="10" t="s">
        <v>54</v>
      </c>
      <c r="D296" s="10" t="s">
        <v>77</v>
      </c>
      <c r="E296" s="10" t="str">
        <f t="shared" si="1"/>
        <v>Diana</v>
      </c>
      <c r="F296" s="10" t="s">
        <v>23</v>
      </c>
      <c r="G296" s="9" t="s">
        <v>43</v>
      </c>
      <c r="H296" s="10" t="s">
        <v>38</v>
      </c>
      <c r="I296" s="10">
        <v>2</v>
      </c>
      <c r="J296" s="10">
        <v>356.82</v>
      </c>
      <c r="K296" s="10">
        <f t="shared" si="2"/>
        <v>713.64</v>
      </c>
      <c r="L296" s="10" t="s">
        <v>353</v>
      </c>
      <c r="M296" s="10" t="str">
        <f t="shared" si="3"/>
        <v>CREDIT CARD</v>
      </c>
      <c r="N296" s="10" t="s">
        <v>75</v>
      </c>
      <c r="O296" s="10" t="str">
        <f t="shared" si="4"/>
        <v>Credit Card</v>
      </c>
      <c r="P296" s="10" t="s">
        <v>19</v>
      </c>
      <c r="Q296" s="10" t="str">
        <f t="shared" si="5"/>
        <v>Double Entry</v>
      </c>
    </row>
    <row r="297" spans="1:17" ht="14.25" customHeight="1">
      <c r="A297" s="8">
        <v>45401</v>
      </c>
      <c r="B297" s="9" t="str">
        <f t="shared" si="0"/>
        <v>North</v>
      </c>
      <c r="C297" s="9" t="s">
        <v>12</v>
      </c>
      <c r="D297" s="10" t="s">
        <v>13</v>
      </c>
      <c r="E297" s="10" t="str">
        <f t="shared" si="1"/>
        <v>Faith</v>
      </c>
      <c r="F297" s="10" t="s">
        <v>14</v>
      </c>
      <c r="G297" s="9" t="s">
        <v>37</v>
      </c>
      <c r="H297" s="10" t="s">
        <v>67</v>
      </c>
      <c r="I297" s="10">
        <v>4</v>
      </c>
      <c r="J297" s="10">
        <v>272.17</v>
      </c>
      <c r="K297" s="10">
        <f t="shared" si="2"/>
        <v>1088.68</v>
      </c>
      <c r="L297" s="10" t="s">
        <v>243</v>
      </c>
      <c r="M297" s="10" t="str">
        <f t="shared" si="3"/>
        <v>CREDIT CARD</v>
      </c>
      <c r="N297" s="10" t="s">
        <v>75</v>
      </c>
      <c r="O297" s="10" t="str">
        <f t="shared" si="4"/>
        <v>Credit Card</v>
      </c>
      <c r="P297" s="9" t="s">
        <v>523</v>
      </c>
      <c r="Q297" s="9" t="str">
        <f t="shared" si="5"/>
        <v>No Comments</v>
      </c>
    </row>
    <row r="298" spans="1:17" ht="14.25" customHeight="1">
      <c r="A298" s="8">
        <v>45462</v>
      </c>
      <c r="B298" s="10" t="str">
        <f t="shared" si="0"/>
        <v>West</v>
      </c>
      <c r="C298" s="10" t="s">
        <v>54</v>
      </c>
      <c r="D298" s="10" t="s">
        <v>59</v>
      </c>
      <c r="E298" s="10" t="str">
        <f t="shared" si="1"/>
        <v>Charlie</v>
      </c>
      <c r="F298" s="10" t="s">
        <v>47</v>
      </c>
      <c r="G298" s="9" t="s">
        <v>37</v>
      </c>
      <c r="H298" s="10" t="s">
        <v>112</v>
      </c>
      <c r="I298" s="10">
        <v>14</v>
      </c>
      <c r="J298" s="10">
        <v>44.26</v>
      </c>
      <c r="K298" s="10">
        <f t="shared" si="2"/>
        <v>619.64</v>
      </c>
      <c r="L298" s="10" t="s">
        <v>405</v>
      </c>
      <c r="M298" s="9" t="str">
        <f t="shared" si="3"/>
        <v>UNKONWN</v>
      </c>
      <c r="N298" s="9" t="s">
        <v>521</v>
      </c>
      <c r="O298" s="9" t="str">
        <f t="shared" si="4"/>
        <v>Unkonwn</v>
      </c>
      <c r="P298" s="10" t="s">
        <v>40</v>
      </c>
      <c r="Q298" s="10" t="str">
        <f t="shared" si="5"/>
        <v>Urgent</v>
      </c>
    </row>
    <row r="299" spans="1:17" ht="14.25" customHeight="1">
      <c r="A299" s="8">
        <v>45432</v>
      </c>
      <c r="B299" s="10" t="str">
        <f t="shared" si="0"/>
        <v>East</v>
      </c>
      <c r="C299" s="10" t="s">
        <v>146</v>
      </c>
      <c r="D299" s="10" t="s">
        <v>28</v>
      </c>
      <c r="E299" s="10" t="str">
        <f t="shared" si="1"/>
        <v>George</v>
      </c>
      <c r="F299" s="10" t="s">
        <v>14</v>
      </c>
      <c r="G299" s="9" t="s">
        <v>43</v>
      </c>
      <c r="H299" s="10" t="s">
        <v>213</v>
      </c>
      <c r="I299" s="10">
        <v>18</v>
      </c>
      <c r="J299" s="10">
        <v>391.83</v>
      </c>
      <c r="K299" s="10">
        <f t="shared" si="2"/>
        <v>7052.94</v>
      </c>
      <c r="L299" s="10" t="s">
        <v>60</v>
      </c>
      <c r="M299" s="10" t="str">
        <f t="shared" si="3"/>
        <v>CASH</v>
      </c>
      <c r="N299" s="10" t="s">
        <v>93</v>
      </c>
      <c r="O299" s="10" t="str">
        <f t="shared" si="4"/>
        <v>Cash</v>
      </c>
      <c r="P299" s="10" t="s">
        <v>33</v>
      </c>
      <c r="Q299" s="10" t="str">
        <f t="shared" si="5"/>
        <v>Priority</v>
      </c>
    </row>
    <row r="300" spans="1:17" ht="14.25" customHeight="1">
      <c r="A300" s="8">
        <v>45316</v>
      </c>
      <c r="B300" s="10" t="str">
        <f t="shared" si="0"/>
        <v>West</v>
      </c>
      <c r="C300" s="10" t="s">
        <v>54</v>
      </c>
      <c r="D300" s="10" t="s">
        <v>87</v>
      </c>
      <c r="E300" s="10" t="str">
        <f t="shared" si="1"/>
        <v>Ethan</v>
      </c>
      <c r="F300" s="10" t="s">
        <v>29</v>
      </c>
      <c r="G300" s="9" t="s">
        <v>43</v>
      </c>
      <c r="H300" s="10" t="s">
        <v>25</v>
      </c>
      <c r="I300" s="10">
        <v>7</v>
      </c>
      <c r="J300" s="10">
        <v>99.99</v>
      </c>
      <c r="K300" s="10">
        <f t="shared" si="2"/>
        <v>699.93</v>
      </c>
      <c r="L300" s="10" t="s">
        <v>443</v>
      </c>
      <c r="M300" s="10" t="str">
        <f t="shared" si="3"/>
        <v>CASH</v>
      </c>
      <c r="N300" s="10" t="s">
        <v>93</v>
      </c>
      <c r="O300" s="10" t="str">
        <f t="shared" si="4"/>
        <v>Cash</v>
      </c>
      <c r="P300" s="10" t="s">
        <v>40</v>
      </c>
      <c r="Q300" s="10" t="str">
        <f t="shared" si="5"/>
        <v>Urgent</v>
      </c>
    </row>
    <row r="301" spans="1:17" ht="14.25" customHeight="1">
      <c r="A301" s="8">
        <v>45311</v>
      </c>
      <c r="B301" s="9" t="str">
        <f t="shared" si="0"/>
        <v>North</v>
      </c>
      <c r="C301" s="9" t="s">
        <v>12</v>
      </c>
      <c r="D301" s="10" t="s">
        <v>13</v>
      </c>
      <c r="E301" s="10" t="str">
        <f t="shared" si="1"/>
        <v>Faith</v>
      </c>
      <c r="F301" s="10" t="s">
        <v>50</v>
      </c>
      <c r="G301" s="9" t="s">
        <v>37</v>
      </c>
      <c r="H301" s="10" t="s">
        <v>106</v>
      </c>
      <c r="I301" s="10">
        <v>14</v>
      </c>
      <c r="J301" s="10">
        <v>11.89</v>
      </c>
      <c r="K301" s="10">
        <f t="shared" si="2"/>
        <v>166.46</v>
      </c>
      <c r="L301" s="10" t="s">
        <v>268</v>
      </c>
      <c r="M301" s="10" t="str">
        <f t="shared" si="3"/>
        <v>CREDIT CARD</v>
      </c>
      <c r="N301" s="10" t="s">
        <v>75</v>
      </c>
      <c r="O301" s="10" t="str">
        <f t="shared" si="4"/>
        <v>Credit Card</v>
      </c>
      <c r="P301" s="10" t="s">
        <v>83</v>
      </c>
      <c r="Q301" s="10" t="str">
        <f t="shared" si="5"/>
        <v>Check Stock</v>
      </c>
    </row>
    <row r="302" spans="1:17" ht="14.25" customHeight="1">
      <c r="A302" s="8">
        <v>45439</v>
      </c>
      <c r="B302" s="10" t="str">
        <f t="shared" si="0"/>
        <v>East</v>
      </c>
      <c r="C302" s="10" t="s">
        <v>146</v>
      </c>
      <c r="D302" s="10" t="s">
        <v>62</v>
      </c>
      <c r="E302" s="10" t="str">
        <f t="shared" si="1"/>
        <v>Hannah</v>
      </c>
      <c r="F302" s="10" t="s">
        <v>47</v>
      </c>
      <c r="G302" s="9" t="s">
        <v>37</v>
      </c>
      <c r="H302" s="10" t="s">
        <v>88</v>
      </c>
      <c r="I302" s="10">
        <v>3</v>
      </c>
      <c r="J302" s="10">
        <v>424.17</v>
      </c>
      <c r="K302" s="10">
        <f t="shared" si="2"/>
        <v>1272.51</v>
      </c>
      <c r="L302" s="10" t="s">
        <v>443</v>
      </c>
      <c r="M302" s="10" t="str">
        <f t="shared" si="3"/>
        <v>BANK TRANSFER</v>
      </c>
      <c r="N302" s="10" t="s">
        <v>18</v>
      </c>
      <c r="O302" s="10" t="str">
        <f t="shared" si="4"/>
        <v>Bank Transfer</v>
      </c>
      <c r="P302" s="9" t="s">
        <v>523</v>
      </c>
      <c r="Q302" s="9" t="str">
        <f t="shared" si="5"/>
        <v>No Comments</v>
      </c>
    </row>
    <row r="303" spans="1:17" ht="14.25" customHeight="1">
      <c r="A303" s="8">
        <v>45393</v>
      </c>
      <c r="B303" s="9" t="str">
        <f t="shared" si="0"/>
        <v>Unknow</v>
      </c>
      <c r="C303" s="9" t="s">
        <v>522</v>
      </c>
      <c r="D303" s="10" t="s">
        <v>62</v>
      </c>
      <c r="E303" s="10" t="str">
        <f t="shared" si="1"/>
        <v>Hannah</v>
      </c>
      <c r="F303" s="10" t="s">
        <v>14</v>
      </c>
      <c r="G303" s="9" t="s">
        <v>37</v>
      </c>
      <c r="H303" s="10" t="s">
        <v>273</v>
      </c>
      <c r="I303" s="10">
        <v>14</v>
      </c>
      <c r="J303" s="10">
        <v>55.72</v>
      </c>
      <c r="K303" s="10">
        <f t="shared" si="2"/>
        <v>780.07999999999993</v>
      </c>
      <c r="L303" s="10" t="s">
        <v>224</v>
      </c>
      <c r="M303" s="10" t="str">
        <f t="shared" si="3"/>
        <v>CREDIT CARD</v>
      </c>
      <c r="N303" s="10" t="s">
        <v>75</v>
      </c>
      <c r="O303" s="10" t="str">
        <f t="shared" si="4"/>
        <v>Credit Card</v>
      </c>
      <c r="P303" s="10" t="s">
        <v>40</v>
      </c>
      <c r="Q303" s="10" t="str">
        <f t="shared" si="5"/>
        <v>Urgent</v>
      </c>
    </row>
    <row r="304" spans="1:17" ht="14.25" customHeight="1">
      <c r="A304" s="8">
        <v>45381</v>
      </c>
      <c r="B304" s="10" t="str">
        <f t="shared" si="0"/>
        <v>South</v>
      </c>
      <c r="C304" s="10" t="s">
        <v>21</v>
      </c>
      <c r="D304" s="10" t="s">
        <v>22</v>
      </c>
      <c r="E304" s="10" t="str">
        <f t="shared" si="1"/>
        <v>Bob</v>
      </c>
      <c r="F304" s="10" t="s">
        <v>29</v>
      </c>
      <c r="G304" s="9" t="s">
        <v>15</v>
      </c>
      <c r="H304" s="10" t="s">
        <v>63</v>
      </c>
      <c r="I304" s="10">
        <v>17</v>
      </c>
      <c r="J304" s="10">
        <v>397.88</v>
      </c>
      <c r="K304" s="10">
        <f t="shared" si="2"/>
        <v>6763.96</v>
      </c>
      <c r="L304" s="10" t="s">
        <v>407</v>
      </c>
      <c r="M304" s="10" t="str">
        <f t="shared" si="3"/>
        <v>MOBILE MONEY</v>
      </c>
      <c r="N304" s="10" t="s">
        <v>32</v>
      </c>
      <c r="O304" s="10" t="str">
        <f t="shared" si="4"/>
        <v>Mobile Money</v>
      </c>
      <c r="P304" s="10" t="s">
        <v>33</v>
      </c>
      <c r="Q304" s="10" t="str">
        <f t="shared" si="5"/>
        <v>Priority</v>
      </c>
    </row>
    <row r="305" spans="1:17" ht="14.25" customHeight="1">
      <c r="A305" s="8">
        <v>45530</v>
      </c>
      <c r="B305" s="10" t="str">
        <f t="shared" si="0"/>
        <v>SOUTH</v>
      </c>
      <c r="C305" s="10" t="s">
        <v>46</v>
      </c>
      <c r="D305" s="10" t="s">
        <v>22</v>
      </c>
      <c r="E305" s="10" t="str">
        <f t="shared" si="1"/>
        <v>Bob</v>
      </c>
      <c r="F305" s="10" t="s">
        <v>47</v>
      </c>
      <c r="G305" s="9" t="s">
        <v>37</v>
      </c>
      <c r="H305" s="10" t="s">
        <v>101</v>
      </c>
      <c r="I305" s="10">
        <v>11</v>
      </c>
      <c r="J305" s="10">
        <v>30.12</v>
      </c>
      <c r="K305" s="10">
        <f t="shared" si="2"/>
        <v>331.32</v>
      </c>
      <c r="L305" s="10" t="s">
        <v>255</v>
      </c>
      <c r="M305" s="10" t="str">
        <f t="shared" si="3"/>
        <v>CASH</v>
      </c>
      <c r="N305" s="10" t="s">
        <v>93</v>
      </c>
      <c r="O305" s="10" t="str">
        <f t="shared" si="4"/>
        <v>Cash</v>
      </c>
      <c r="P305" s="10" t="s">
        <v>83</v>
      </c>
      <c r="Q305" s="10" t="str">
        <f t="shared" si="5"/>
        <v>Check Stock</v>
      </c>
    </row>
    <row r="306" spans="1:17" ht="14.25" customHeight="1">
      <c r="A306" s="8">
        <v>45550</v>
      </c>
      <c r="B306" s="10" t="str">
        <f t="shared" si="0"/>
        <v>West</v>
      </c>
      <c r="C306" s="10" t="s">
        <v>54</v>
      </c>
      <c r="D306" s="10" t="s">
        <v>42</v>
      </c>
      <c r="E306" s="10" t="str">
        <f t="shared" si="1"/>
        <v>Alice</v>
      </c>
      <c r="F306" s="10" t="s">
        <v>29</v>
      </c>
      <c r="G306" s="9" t="s">
        <v>43</v>
      </c>
      <c r="H306" s="10" t="s">
        <v>55</v>
      </c>
      <c r="I306" s="10">
        <v>14</v>
      </c>
      <c r="J306" s="10">
        <v>179.22</v>
      </c>
      <c r="K306" s="10">
        <f t="shared" si="2"/>
        <v>2509.08</v>
      </c>
      <c r="L306" s="10" t="s">
        <v>56</v>
      </c>
      <c r="M306" s="10" t="str">
        <f t="shared" si="3"/>
        <v xml:space="preserve">MOBILE MONEY </v>
      </c>
      <c r="N306" s="10" t="s">
        <v>57</v>
      </c>
      <c r="O306" s="10" t="str">
        <f t="shared" si="4"/>
        <v xml:space="preserve">Mobile Money </v>
      </c>
      <c r="P306" s="10" t="s">
        <v>52</v>
      </c>
      <c r="Q306" s="10" t="str">
        <f t="shared" si="5"/>
        <v>Follow Up</v>
      </c>
    </row>
    <row r="307" spans="1:17" ht="14.25" customHeight="1">
      <c r="A307" s="8">
        <v>45563</v>
      </c>
      <c r="B307" s="10" t="str">
        <f t="shared" si="0"/>
        <v>South</v>
      </c>
      <c r="C307" s="10" t="s">
        <v>21</v>
      </c>
      <c r="D307" s="10" t="s">
        <v>28</v>
      </c>
      <c r="E307" s="10" t="str">
        <f t="shared" si="1"/>
        <v>George</v>
      </c>
      <c r="F307" s="10" t="s">
        <v>29</v>
      </c>
      <c r="G307" s="10" t="s">
        <v>24</v>
      </c>
      <c r="H307" s="10" t="s">
        <v>78</v>
      </c>
      <c r="I307" s="10">
        <v>12</v>
      </c>
      <c r="J307" s="10">
        <v>57.15</v>
      </c>
      <c r="K307" s="10">
        <f t="shared" si="2"/>
        <v>685.8</v>
      </c>
      <c r="L307" s="10" t="s">
        <v>321</v>
      </c>
      <c r="M307" s="10" t="str">
        <f t="shared" si="3"/>
        <v xml:space="preserve">MOBILE MONEY </v>
      </c>
      <c r="N307" s="10" t="s">
        <v>57</v>
      </c>
      <c r="O307" s="10" t="str">
        <f t="shared" si="4"/>
        <v xml:space="preserve">Mobile Money </v>
      </c>
      <c r="P307" s="9" t="s">
        <v>523</v>
      </c>
      <c r="Q307" s="9" t="str">
        <f t="shared" si="5"/>
        <v>No Comments</v>
      </c>
    </row>
    <row r="308" spans="1:17" ht="14.25" customHeight="1">
      <c r="A308" s="8">
        <v>45330</v>
      </c>
      <c r="B308" s="10" t="str">
        <f t="shared" si="0"/>
        <v>SOUTH</v>
      </c>
      <c r="C308" s="10" t="s">
        <v>46</v>
      </c>
      <c r="D308" s="10" t="s">
        <v>87</v>
      </c>
      <c r="E308" s="10" t="str">
        <f t="shared" si="1"/>
        <v>Ethan</v>
      </c>
      <c r="F308" s="10" t="s">
        <v>36</v>
      </c>
      <c r="G308" s="10" t="s">
        <v>70</v>
      </c>
      <c r="H308" s="9" t="s">
        <v>91</v>
      </c>
      <c r="I308" s="10">
        <v>1</v>
      </c>
      <c r="J308" s="10">
        <v>59.09</v>
      </c>
      <c r="K308" s="10">
        <f t="shared" si="2"/>
        <v>59.09</v>
      </c>
      <c r="L308" s="10" t="s">
        <v>448</v>
      </c>
      <c r="M308" s="10" t="str">
        <f t="shared" si="3"/>
        <v>BANK TRANSFER</v>
      </c>
      <c r="N308" s="10" t="s">
        <v>18</v>
      </c>
      <c r="O308" s="10" t="str">
        <f t="shared" si="4"/>
        <v>Bank Transfer</v>
      </c>
      <c r="P308" s="10" t="s">
        <v>33</v>
      </c>
      <c r="Q308" s="10" t="str">
        <f t="shared" si="5"/>
        <v>Priority</v>
      </c>
    </row>
    <row r="309" spans="1:17" ht="14.25" customHeight="1">
      <c r="A309" s="8">
        <v>45345</v>
      </c>
      <c r="B309" s="10" t="str">
        <f t="shared" si="0"/>
        <v>East</v>
      </c>
      <c r="C309" s="10" t="s">
        <v>35</v>
      </c>
      <c r="D309" s="10" t="s">
        <v>13</v>
      </c>
      <c r="E309" s="10" t="str">
        <f t="shared" si="1"/>
        <v>Faith</v>
      </c>
      <c r="F309" s="10" t="s">
        <v>36</v>
      </c>
      <c r="G309" s="9" t="s">
        <v>37</v>
      </c>
      <c r="H309" s="10" t="s">
        <v>71</v>
      </c>
      <c r="I309" s="10">
        <v>16</v>
      </c>
      <c r="J309" s="10">
        <v>348.28</v>
      </c>
      <c r="K309" s="10">
        <f t="shared" si="2"/>
        <v>5572.48</v>
      </c>
      <c r="L309" s="10" t="s">
        <v>449</v>
      </c>
      <c r="M309" s="10" t="str">
        <f t="shared" si="3"/>
        <v xml:space="preserve">MOBILE MONEY </v>
      </c>
      <c r="N309" s="10" t="s">
        <v>57</v>
      </c>
      <c r="O309" s="10" t="str">
        <f t="shared" si="4"/>
        <v xml:space="preserve">Mobile Money </v>
      </c>
      <c r="P309" s="9" t="s">
        <v>523</v>
      </c>
      <c r="Q309" s="9" t="str">
        <f t="shared" si="5"/>
        <v>No Comments</v>
      </c>
    </row>
    <row r="310" spans="1:17" ht="14.25" customHeight="1">
      <c r="A310" s="8">
        <v>45401</v>
      </c>
      <c r="B310" s="9" t="str">
        <f t="shared" si="0"/>
        <v>Unknow</v>
      </c>
      <c r="C310" s="9" t="s">
        <v>522</v>
      </c>
      <c r="D310" s="10" t="s">
        <v>77</v>
      </c>
      <c r="E310" s="10" t="str">
        <f t="shared" si="1"/>
        <v>Diana</v>
      </c>
      <c r="F310" s="10" t="s">
        <v>29</v>
      </c>
      <c r="G310" s="9" t="s">
        <v>43</v>
      </c>
      <c r="H310" s="10" t="s">
        <v>117</v>
      </c>
      <c r="I310" s="10">
        <v>20</v>
      </c>
      <c r="J310" s="10">
        <v>263.75</v>
      </c>
      <c r="K310" s="10">
        <f t="shared" si="2"/>
        <v>5275</v>
      </c>
      <c r="L310" s="10" t="s">
        <v>149</v>
      </c>
      <c r="M310" s="10" t="str">
        <f t="shared" si="3"/>
        <v>CASH</v>
      </c>
      <c r="N310" s="10" t="s">
        <v>93</v>
      </c>
      <c r="O310" s="10" t="str">
        <f t="shared" si="4"/>
        <v>Cash</v>
      </c>
      <c r="P310" s="9" t="s">
        <v>523</v>
      </c>
      <c r="Q310" s="9" t="str">
        <f t="shared" si="5"/>
        <v>No Comments</v>
      </c>
    </row>
    <row r="311" spans="1:17" ht="14.25" customHeight="1">
      <c r="A311" s="8">
        <v>45410</v>
      </c>
      <c r="B311" s="10" t="str">
        <f t="shared" si="0"/>
        <v>SOUTH</v>
      </c>
      <c r="C311" s="10" t="s">
        <v>46</v>
      </c>
      <c r="D311" s="10" t="s">
        <v>13</v>
      </c>
      <c r="E311" s="10" t="str">
        <f t="shared" si="1"/>
        <v>Faith</v>
      </c>
      <c r="F311" s="10" t="s">
        <v>50</v>
      </c>
      <c r="G311" s="10" t="s">
        <v>24</v>
      </c>
      <c r="H311" s="10" t="s">
        <v>106</v>
      </c>
      <c r="I311" s="10">
        <v>9</v>
      </c>
      <c r="J311" s="10">
        <v>284.12</v>
      </c>
      <c r="K311" s="10">
        <f t="shared" si="2"/>
        <v>2557.08</v>
      </c>
      <c r="L311" s="10" t="s">
        <v>430</v>
      </c>
      <c r="M311" s="10" t="str">
        <f t="shared" si="3"/>
        <v>CASH</v>
      </c>
      <c r="N311" s="10" t="s">
        <v>65</v>
      </c>
      <c r="O311" s="10" t="str">
        <f t="shared" si="4"/>
        <v>Cash</v>
      </c>
      <c r="P311" s="10" t="s">
        <v>52</v>
      </c>
      <c r="Q311" s="10" t="str">
        <f t="shared" si="5"/>
        <v>Follow Up</v>
      </c>
    </row>
    <row r="312" spans="1:17" ht="14.25" customHeight="1">
      <c r="A312" s="8">
        <v>45409</v>
      </c>
      <c r="B312" s="10" t="str">
        <f t="shared" si="0"/>
        <v>East</v>
      </c>
      <c r="C312" s="10" t="s">
        <v>35</v>
      </c>
      <c r="D312" s="10" t="s">
        <v>42</v>
      </c>
      <c r="E312" s="10" t="str">
        <f t="shared" si="1"/>
        <v>Alice</v>
      </c>
      <c r="F312" s="10" t="s">
        <v>14</v>
      </c>
      <c r="G312" s="9" t="s">
        <v>15</v>
      </c>
      <c r="H312" s="10" t="s">
        <v>273</v>
      </c>
      <c r="I312" s="10">
        <v>13</v>
      </c>
      <c r="J312" s="10">
        <v>99.24</v>
      </c>
      <c r="K312" s="10">
        <f t="shared" si="2"/>
        <v>1290.1199999999999</v>
      </c>
      <c r="L312" s="10" t="s">
        <v>285</v>
      </c>
      <c r="M312" s="10" t="str">
        <f t="shared" si="3"/>
        <v>MOBILE MONEY</v>
      </c>
      <c r="N312" s="10" t="s">
        <v>32</v>
      </c>
      <c r="O312" s="10" t="str">
        <f t="shared" si="4"/>
        <v>Mobile Money</v>
      </c>
      <c r="P312" s="10" t="s">
        <v>83</v>
      </c>
      <c r="Q312" s="10" t="str">
        <f t="shared" si="5"/>
        <v>Check Stock</v>
      </c>
    </row>
    <row r="313" spans="1:17" ht="14.25" customHeight="1">
      <c r="A313" s="8">
        <v>45486</v>
      </c>
      <c r="B313" s="10" t="str">
        <f t="shared" si="0"/>
        <v>East</v>
      </c>
      <c r="C313" s="10" t="s">
        <v>35</v>
      </c>
      <c r="D313" s="10" t="s">
        <v>62</v>
      </c>
      <c r="E313" s="10" t="str">
        <f t="shared" si="1"/>
        <v>Hannah</v>
      </c>
      <c r="F313" s="10" t="s">
        <v>47</v>
      </c>
      <c r="G313" s="9" t="s">
        <v>43</v>
      </c>
      <c r="H313" s="10" t="s">
        <v>101</v>
      </c>
      <c r="I313" s="10">
        <v>11</v>
      </c>
      <c r="J313" s="10">
        <v>114.4</v>
      </c>
      <c r="K313" s="10">
        <f t="shared" si="2"/>
        <v>1258.4000000000001</v>
      </c>
      <c r="L313" s="10" t="s">
        <v>415</v>
      </c>
      <c r="M313" s="10" t="str">
        <f t="shared" si="3"/>
        <v xml:space="preserve">MOBILE MONEY </v>
      </c>
      <c r="N313" s="10" t="s">
        <v>57</v>
      </c>
      <c r="O313" s="10" t="str">
        <f t="shared" si="4"/>
        <v xml:space="preserve">Mobile Money </v>
      </c>
      <c r="P313" s="9" t="s">
        <v>523</v>
      </c>
      <c r="Q313" s="9" t="str">
        <f t="shared" si="5"/>
        <v>No Comments</v>
      </c>
    </row>
    <row r="314" spans="1:17" ht="14.25" customHeight="1">
      <c r="A314" s="8">
        <v>45549</v>
      </c>
      <c r="B314" s="9" t="str">
        <f t="shared" si="0"/>
        <v>Unknow</v>
      </c>
      <c r="C314" s="9" t="s">
        <v>522</v>
      </c>
      <c r="D314" s="10" t="s">
        <v>59</v>
      </c>
      <c r="E314" s="10" t="str">
        <f t="shared" si="1"/>
        <v>Charlie</v>
      </c>
      <c r="F314" s="10" t="s">
        <v>47</v>
      </c>
      <c r="G314" s="9" t="s">
        <v>37</v>
      </c>
      <c r="H314" s="10" t="s">
        <v>112</v>
      </c>
      <c r="I314" s="10">
        <v>5</v>
      </c>
      <c r="J314" s="10">
        <v>450.53</v>
      </c>
      <c r="K314" s="10">
        <f t="shared" si="2"/>
        <v>2252.6499999999996</v>
      </c>
      <c r="L314" s="10" t="s">
        <v>351</v>
      </c>
      <c r="M314" s="9" t="str">
        <f t="shared" si="3"/>
        <v>UNKONWN</v>
      </c>
      <c r="N314" s="9" t="s">
        <v>521</v>
      </c>
      <c r="O314" s="9" t="str">
        <f t="shared" si="4"/>
        <v>Unkonwn</v>
      </c>
      <c r="P314" s="9" t="s">
        <v>523</v>
      </c>
      <c r="Q314" s="9" t="str">
        <f t="shared" si="5"/>
        <v>No Comments</v>
      </c>
    </row>
    <row r="315" spans="1:17" ht="14.25" customHeight="1">
      <c r="A315" s="8">
        <v>45518</v>
      </c>
      <c r="B315" s="10" t="str">
        <f t="shared" si="0"/>
        <v>SOUTH</v>
      </c>
      <c r="C315" s="10" t="s">
        <v>46</v>
      </c>
      <c r="D315" s="10" t="s">
        <v>59</v>
      </c>
      <c r="E315" s="10" t="str">
        <f t="shared" si="1"/>
        <v>Charlie</v>
      </c>
      <c r="F315" s="10" t="s">
        <v>47</v>
      </c>
      <c r="G315" s="9" t="s">
        <v>37</v>
      </c>
      <c r="H315" s="10" t="s">
        <v>38</v>
      </c>
      <c r="I315" s="10">
        <v>6</v>
      </c>
      <c r="J315" s="10">
        <v>397.06</v>
      </c>
      <c r="K315" s="10">
        <f t="shared" si="2"/>
        <v>2382.36</v>
      </c>
      <c r="L315" s="10" t="s">
        <v>170</v>
      </c>
      <c r="M315" s="10" t="str">
        <f t="shared" si="3"/>
        <v>MOBILE MONEY</v>
      </c>
      <c r="N315" s="10" t="s">
        <v>32</v>
      </c>
      <c r="O315" s="10" t="str">
        <f t="shared" si="4"/>
        <v>Mobile Money</v>
      </c>
      <c r="P315" s="10" t="s">
        <v>19</v>
      </c>
      <c r="Q315" s="10" t="str">
        <f t="shared" si="5"/>
        <v>Double Entry</v>
      </c>
    </row>
    <row r="316" spans="1:17" ht="14.25" customHeight="1">
      <c r="A316" s="8">
        <v>45523</v>
      </c>
      <c r="B316" s="9" t="str">
        <f t="shared" si="0"/>
        <v>North</v>
      </c>
      <c r="C316" s="9" t="s">
        <v>12</v>
      </c>
      <c r="D316" s="10" t="s">
        <v>42</v>
      </c>
      <c r="E316" s="10" t="str">
        <f t="shared" si="1"/>
        <v>Alice</v>
      </c>
      <c r="F316" s="10" t="s">
        <v>47</v>
      </c>
      <c r="G316" s="9" t="s">
        <v>43</v>
      </c>
      <c r="H316" s="10" t="s">
        <v>16</v>
      </c>
      <c r="I316" s="10">
        <v>12</v>
      </c>
      <c r="J316" s="10">
        <v>468.7</v>
      </c>
      <c r="K316" s="10">
        <f t="shared" si="2"/>
        <v>5624.4</v>
      </c>
      <c r="L316" s="10" t="s">
        <v>410</v>
      </c>
      <c r="M316" s="10" t="str">
        <f t="shared" si="3"/>
        <v>MOBILE MONEY</v>
      </c>
      <c r="N316" s="10" t="s">
        <v>32</v>
      </c>
      <c r="O316" s="10" t="str">
        <f t="shared" si="4"/>
        <v>Mobile Money</v>
      </c>
      <c r="P316" s="10" t="s">
        <v>40</v>
      </c>
      <c r="Q316" s="10" t="str">
        <f t="shared" si="5"/>
        <v>Urgent</v>
      </c>
    </row>
    <row r="317" spans="1:17" ht="14.25" customHeight="1">
      <c r="A317" s="8">
        <v>45488</v>
      </c>
      <c r="B317" s="10" t="str">
        <f t="shared" si="0"/>
        <v>SOUTH</v>
      </c>
      <c r="C317" s="10" t="s">
        <v>46</v>
      </c>
      <c r="D317" s="10" t="s">
        <v>42</v>
      </c>
      <c r="E317" s="10" t="str">
        <f t="shared" si="1"/>
        <v>Alice</v>
      </c>
      <c r="F317" s="10" t="s">
        <v>36</v>
      </c>
      <c r="G317" s="9" t="s">
        <v>37</v>
      </c>
      <c r="H317" s="10" t="s">
        <v>88</v>
      </c>
      <c r="I317" s="10">
        <v>10</v>
      </c>
      <c r="J317" s="10">
        <v>358.99</v>
      </c>
      <c r="K317" s="10">
        <f t="shared" si="2"/>
        <v>3589.9</v>
      </c>
      <c r="L317" s="10" t="s">
        <v>453</v>
      </c>
      <c r="M317" s="10" t="str">
        <f t="shared" si="3"/>
        <v>CREDIT CARD</v>
      </c>
      <c r="N317" s="10" t="s">
        <v>75</v>
      </c>
      <c r="O317" s="10" t="str">
        <f t="shared" si="4"/>
        <v>Credit Card</v>
      </c>
      <c r="P317" s="10" t="s">
        <v>83</v>
      </c>
      <c r="Q317" s="10" t="str">
        <f t="shared" si="5"/>
        <v>Check Stock</v>
      </c>
    </row>
    <row r="318" spans="1:17" ht="14.25" customHeight="1">
      <c r="A318" s="8">
        <v>45456</v>
      </c>
      <c r="B318" s="9" t="str">
        <f t="shared" si="0"/>
        <v>North</v>
      </c>
      <c r="C318" s="9" t="s">
        <v>12</v>
      </c>
      <c r="D318" s="10" t="s">
        <v>59</v>
      </c>
      <c r="E318" s="10" t="str">
        <f t="shared" si="1"/>
        <v>Charlie</v>
      </c>
      <c r="F318" s="10" t="s">
        <v>14</v>
      </c>
      <c r="G318" s="9" t="s">
        <v>43</v>
      </c>
      <c r="H318" s="10" t="s">
        <v>71</v>
      </c>
      <c r="I318" s="10">
        <v>1</v>
      </c>
      <c r="J318" s="10">
        <v>215.81</v>
      </c>
      <c r="K318" s="10">
        <f t="shared" si="2"/>
        <v>215.81</v>
      </c>
      <c r="L318" s="10" t="s">
        <v>239</v>
      </c>
      <c r="M318" s="10" t="str">
        <f t="shared" si="3"/>
        <v>CASH</v>
      </c>
      <c r="N318" s="10" t="s">
        <v>65</v>
      </c>
      <c r="O318" s="10" t="str">
        <f t="shared" si="4"/>
        <v>Cash</v>
      </c>
      <c r="P318" s="9" t="s">
        <v>523</v>
      </c>
      <c r="Q318" s="9" t="str">
        <f t="shared" si="5"/>
        <v>No Comments</v>
      </c>
    </row>
    <row r="319" spans="1:17" ht="14.25" customHeight="1">
      <c r="A319" s="8">
        <v>45341</v>
      </c>
      <c r="B319" s="10" t="str">
        <f t="shared" si="0"/>
        <v>South</v>
      </c>
      <c r="C319" s="10" t="s">
        <v>21</v>
      </c>
      <c r="D319" s="10" t="s">
        <v>59</v>
      </c>
      <c r="E319" s="10" t="str">
        <f t="shared" si="1"/>
        <v>Charlie</v>
      </c>
      <c r="F319" s="10" t="s">
        <v>23</v>
      </c>
      <c r="G319" s="9" t="s">
        <v>15</v>
      </c>
      <c r="H319" s="10" t="s">
        <v>38</v>
      </c>
      <c r="I319" s="10">
        <v>18</v>
      </c>
      <c r="J319" s="10">
        <v>369.65</v>
      </c>
      <c r="K319" s="10">
        <f t="shared" si="2"/>
        <v>6653.7</v>
      </c>
      <c r="L319" s="10" t="s">
        <v>143</v>
      </c>
      <c r="M319" s="10" t="str">
        <f t="shared" si="3"/>
        <v>CREDIT CARD</v>
      </c>
      <c r="N319" s="10" t="s">
        <v>75</v>
      </c>
      <c r="O319" s="10" t="str">
        <f t="shared" si="4"/>
        <v>Credit Card</v>
      </c>
      <c r="P319" s="10" t="s">
        <v>40</v>
      </c>
      <c r="Q319" s="10" t="str">
        <f t="shared" si="5"/>
        <v>Urgent</v>
      </c>
    </row>
    <row r="320" spans="1:17" ht="14.25" customHeight="1">
      <c r="A320" s="8">
        <v>45384</v>
      </c>
      <c r="B320" s="9" t="str">
        <f t="shared" si="0"/>
        <v>North</v>
      </c>
      <c r="C320" s="9" t="s">
        <v>12</v>
      </c>
      <c r="D320" s="10" t="s">
        <v>42</v>
      </c>
      <c r="E320" s="10" t="str">
        <f t="shared" si="1"/>
        <v>Alice</v>
      </c>
      <c r="F320" s="10" t="s">
        <v>36</v>
      </c>
      <c r="G320" s="10" t="s">
        <v>70</v>
      </c>
      <c r="H320" s="10" t="s">
        <v>38</v>
      </c>
      <c r="I320" s="10">
        <v>6</v>
      </c>
      <c r="J320" s="10">
        <v>398.11</v>
      </c>
      <c r="K320" s="10">
        <f t="shared" si="2"/>
        <v>2388.66</v>
      </c>
      <c r="L320" s="10" t="s">
        <v>401</v>
      </c>
      <c r="M320" s="9" t="str">
        <f t="shared" si="3"/>
        <v>UNKONWN</v>
      </c>
      <c r="N320" s="9" t="s">
        <v>521</v>
      </c>
      <c r="O320" s="9" t="str">
        <f t="shared" si="4"/>
        <v>Unkonwn</v>
      </c>
      <c r="P320" s="10" t="s">
        <v>33</v>
      </c>
      <c r="Q320" s="10" t="str">
        <f t="shared" si="5"/>
        <v>Priority</v>
      </c>
    </row>
    <row r="321" spans="1:17" ht="14.25" customHeight="1">
      <c r="A321" s="8">
        <v>45448</v>
      </c>
      <c r="B321" s="9" t="str">
        <f t="shared" si="0"/>
        <v>North</v>
      </c>
      <c r="C321" s="9" t="s">
        <v>12</v>
      </c>
      <c r="D321" s="10" t="s">
        <v>87</v>
      </c>
      <c r="E321" s="10" t="str">
        <f t="shared" si="1"/>
        <v>Ethan</v>
      </c>
      <c r="F321" s="10" t="s">
        <v>47</v>
      </c>
      <c r="G321" s="9" t="s">
        <v>37</v>
      </c>
      <c r="H321" s="10" t="s">
        <v>16</v>
      </c>
      <c r="I321" s="10">
        <v>15</v>
      </c>
      <c r="J321" s="10">
        <v>323.22000000000003</v>
      </c>
      <c r="K321" s="10">
        <f t="shared" si="2"/>
        <v>4848.3</v>
      </c>
      <c r="L321" s="10" t="s">
        <v>245</v>
      </c>
      <c r="M321" s="10" t="str">
        <f t="shared" si="3"/>
        <v>MOBILE MONEY</v>
      </c>
      <c r="N321" s="10" t="s">
        <v>32</v>
      </c>
      <c r="O321" s="10" t="str">
        <f t="shared" si="4"/>
        <v>Mobile Money</v>
      </c>
      <c r="P321" s="9" t="s">
        <v>523</v>
      </c>
      <c r="Q321" s="9" t="str">
        <f t="shared" si="5"/>
        <v>No Comments</v>
      </c>
    </row>
    <row r="322" spans="1:17" ht="14.25" customHeight="1">
      <c r="A322" s="8">
        <v>45474</v>
      </c>
      <c r="B322" s="10" t="str">
        <f t="shared" si="0"/>
        <v>East</v>
      </c>
      <c r="C322" s="10" t="s">
        <v>146</v>
      </c>
      <c r="D322" s="10" t="s">
        <v>28</v>
      </c>
      <c r="E322" s="10" t="str">
        <f t="shared" si="1"/>
        <v>George</v>
      </c>
      <c r="F322" s="10" t="s">
        <v>50</v>
      </c>
      <c r="G322" s="9" t="s">
        <v>37</v>
      </c>
      <c r="H322" s="10" t="s">
        <v>101</v>
      </c>
      <c r="I322" s="10">
        <v>19</v>
      </c>
      <c r="J322" s="10">
        <v>268.77</v>
      </c>
      <c r="K322" s="10">
        <f t="shared" si="2"/>
        <v>5106.6299999999992</v>
      </c>
      <c r="L322" s="10" t="s">
        <v>394</v>
      </c>
      <c r="M322" s="10" t="str">
        <f t="shared" si="3"/>
        <v>CASH</v>
      </c>
      <c r="N322" s="10" t="s">
        <v>65</v>
      </c>
      <c r="O322" s="10" t="str">
        <f t="shared" si="4"/>
        <v>Cash</v>
      </c>
      <c r="P322" s="10" t="s">
        <v>40</v>
      </c>
      <c r="Q322" s="10" t="str">
        <f t="shared" si="5"/>
        <v>Urgent</v>
      </c>
    </row>
    <row r="323" spans="1:17" ht="14.25" customHeight="1">
      <c r="A323" s="8">
        <v>45529</v>
      </c>
      <c r="B323" s="10" t="str">
        <f t="shared" si="0"/>
        <v>East</v>
      </c>
      <c r="C323" s="10" t="s">
        <v>146</v>
      </c>
      <c r="D323" s="10" t="s">
        <v>59</v>
      </c>
      <c r="E323" s="10" t="str">
        <f t="shared" si="1"/>
        <v>Charlie</v>
      </c>
      <c r="F323" s="10" t="s">
        <v>47</v>
      </c>
      <c r="G323" s="9" t="s">
        <v>43</v>
      </c>
      <c r="H323" s="10" t="s">
        <v>183</v>
      </c>
      <c r="I323" s="10">
        <v>6</v>
      </c>
      <c r="J323" s="10">
        <v>378.37</v>
      </c>
      <c r="K323" s="10">
        <f t="shared" si="2"/>
        <v>2270.2200000000003</v>
      </c>
      <c r="L323" s="10" t="s">
        <v>458</v>
      </c>
      <c r="M323" s="10" t="str">
        <f t="shared" si="3"/>
        <v>CASH</v>
      </c>
      <c r="N323" s="10" t="s">
        <v>65</v>
      </c>
      <c r="O323" s="10" t="str">
        <f t="shared" si="4"/>
        <v>Cash</v>
      </c>
      <c r="P323" s="9" t="s">
        <v>523</v>
      </c>
      <c r="Q323" s="9" t="str">
        <f t="shared" si="5"/>
        <v>No Comments</v>
      </c>
    </row>
    <row r="324" spans="1:17" ht="14.25" customHeight="1">
      <c r="A324" s="8">
        <v>45588</v>
      </c>
      <c r="B324" s="10" t="str">
        <f t="shared" si="0"/>
        <v>West</v>
      </c>
      <c r="C324" s="10" t="s">
        <v>54</v>
      </c>
      <c r="D324" s="10" t="s">
        <v>59</v>
      </c>
      <c r="E324" s="10" t="str">
        <f t="shared" si="1"/>
        <v>Charlie</v>
      </c>
      <c r="F324" s="10" t="s">
        <v>29</v>
      </c>
      <c r="G324" s="9" t="s">
        <v>37</v>
      </c>
      <c r="H324" s="10" t="s">
        <v>127</v>
      </c>
      <c r="I324" s="10">
        <v>5</v>
      </c>
      <c r="J324" s="10">
        <v>214.64</v>
      </c>
      <c r="K324" s="10">
        <f t="shared" si="2"/>
        <v>1073.1999999999998</v>
      </c>
      <c r="L324" s="10" t="s">
        <v>318</v>
      </c>
      <c r="M324" s="10" t="str">
        <f t="shared" si="3"/>
        <v>MOBILE MONEY</v>
      </c>
      <c r="N324" s="10" t="s">
        <v>32</v>
      </c>
      <c r="O324" s="10" t="str">
        <f t="shared" si="4"/>
        <v>Mobile Money</v>
      </c>
      <c r="P324" s="10" t="s">
        <v>52</v>
      </c>
      <c r="Q324" s="10" t="str">
        <f t="shared" si="5"/>
        <v>Follow Up</v>
      </c>
    </row>
    <row r="325" spans="1:17" ht="14.25" customHeight="1">
      <c r="A325" s="8">
        <v>45321</v>
      </c>
      <c r="B325" s="10" t="str">
        <f t="shared" si="0"/>
        <v>SOUTH</v>
      </c>
      <c r="C325" s="10" t="s">
        <v>46</v>
      </c>
      <c r="D325" s="10" t="s">
        <v>77</v>
      </c>
      <c r="E325" s="10" t="str">
        <f t="shared" si="1"/>
        <v>Diana</v>
      </c>
      <c r="F325" s="10" t="s">
        <v>14</v>
      </c>
      <c r="G325" s="9" t="s">
        <v>43</v>
      </c>
      <c r="H325" s="10" t="s">
        <v>30</v>
      </c>
      <c r="I325" s="10">
        <v>5</v>
      </c>
      <c r="J325" s="10">
        <v>143.24</v>
      </c>
      <c r="K325" s="10">
        <f t="shared" si="2"/>
        <v>716.2</v>
      </c>
      <c r="L325" s="10" t="s">
        <v>458</v>
      </c>
      <c r="M325" s="10" t="str">
        <f t="shared" si="3"/>
        <v>CREDIT CARD</v>
      </c>
      <c r="N325" s="10" t="s">
        <v>75</v>
      </c>
      <c r="O325" s="10" t="str">
        <f t="shared" si="4"/>
        <v>Credit Card</v>
      </c>
      <c r="P325" s="10" t="s">
        <v>33</v>
      </c>
      <c r="Q325" s="10" t="str">
        <f t="shared" si="5"/>
        <v>Priority</v>
      </c>
    </row>
    <row r="326" spans="1:17" ht="14.25" customHeight="1">
      <c r="A326" s="8">
        <v>45459</v>
      </c>
      <c r="B326" s="9" t="str">
        <f t="shared" si="0"/>
        <v>North</v>
      </c>
      <c r="C326" s="9" t="s">
        <v>12</v>
      </c>
      <c r="D326" s="10" t="s">
        <v>22</v>
      </c>
      <c r="E326" s="10" t="str">
        <f t="shared" si="1"/>
        <v>Bob</v>
      </c>
      <c r="F326" s="10" t="s">
        <v>29</v>
      </c>
      <c r="G326" s="9" t="s">
        <v>37</v>
      </c>
      <c r="H326" s="10" t="s">
        <v>25</v>
      </c>
      <c r="I326" s="10">
        <v>20</v>
      </c>
      <c r="J326" s="10">
        <v>301.49</v>
      </c>
      <c r="K326" s="10">
        <f t="shared" si="2"/>
        <v>6029.8</v>
      </c>
      <c r="L326" s="10" t="s">
        <v>186</v>
      </c>
      <c r="M326" s="10" t="str">
        <f t="shared" si="3"/>
        <v>MOBILE MONEY</v>
      </c>
      <c r="N326" s="10" t="s">
        <v>32</v>
      </c>
      <c r="O326" s="10" t="str">
        <f t="shared" si="4"/>
        <v>Mobile Money</v>
      </c>
      <c r="P326" s="10" t="s">
        <v>40</v>
      </c>
      <c r="Q326" s="10" t="str">
        <f t="shared" si="5"/>
        <v>Urgent</v>
      </c>
    </row>
    <row r="327" spans="1:17" ht="14.25" customHeight="1">
      <c r="A327" s="8">
        <v>45407</v>
      </c>
      <c r="B327" s="9" t="str">
        <f t="shared" si="0"/>
        <v>North</v>
      </c>
      <c r="C327" s="9" t="s">
        <v>12</v>
      </c>
      <c r="D327" s="10" t="s">
        <v>77</v>
      </c>
      <c r="E327" s="10" t="str">
        <f t="shared" si="1"/>
        <v>Diana</v>
      </c>
      <c r="F327" s="10" t="s">
        <v>50</v>
      </c>
      <c r="G327" s="10" t="s">
        <v>70</v>
      </c>
      <c r="H327" s="9" t="s">
        <v>91</v>
      </c>
      <c r="I327" s="10">
        <v>14</v>
      </c>
      <c r="J327" s="10">
        <v>473.89</v>
      </c>
      <c r="K327" s="10">
        <f t="shared" si="2"/>
        <v>6634.46</v>
      </c>
      <c r="L327" s="10" t="s">
        <v>44</v>
      </c>
      <c r="M327" s="10" t="str">
        <f t="shared" si="3"/>
        <v>CASH</v>
      </c>
      <c r="N327" s="10" t="s">
        <v>65</v>
      </c>
      <c r="O327" s="10" t="str">
        <f t="shared" si="4"/>
        <v>Cash</v>
      </c>
      <c r="P327" s="10" t="s">
        <v>40</v>
      </c>
      <c r="Q327" s="10" t="str">
        <f t="shared" si="5"/>
        <v>Urgent</v>
      </c>
    </row>
    <row r="328" spans="1:17" ht="14.25" customHeight="1">
      <c r="A328" s="8">
        <v>45488</v>
      </c>
      <c r="B328" s="10" t="str">
        <f t="shared" si="0"/>
        <v>East</v>
      </c>
      <c r="C328" s="10" t="s">
        <v>146</v>
      </c>
      <c r="D328" s="10" t="s">
        <v>28</v>
      </c>
      <c r="E328" s="10" t="str">
        <f t="shared" si="1"/>
        <v>George</v>
      </c>
      <c r="F328" s="10" t="s">
        <v>36</v>
      </c>
      <c r="G328" s="9" t="s">
        <v>43</v>
      </c>
      <c r="H328" s="10" t="s">
        <v>16</v>
      </c>
      <c r="I328" s="10">
        <v>10</v>
      </c>
      <c r="J328" s="10">
        <v>266.33999999999997</v>
      </c>
      <c r="K328" s="10">
        <f t="shared" si="2"/>
        <v>2663.3999999999996</v>
      </c>
      <c r="L328" s="10" t="s">
        <v>462</v>
      </c>
      <c r="M328" s="10" t="str">
        <f t="shared" si="3"/>
        <v>CASH</v>
      </c>
      <c r="N328" s="10" t="s">
        <v>93</v>
      </c>
      <c r="O328" s="10" t="str">
        <f t="shared" si="4"/>
        <v>Cash</v>
      </c>
      <c r="P328" s="10" t="s">
        <v>52</v>
      </c>
      <c r="Q328" s="10" t="str">
        <f t="shared" si="5"/>
        <v>Follow Up</v>
      </c>
    </row>
    <row r="329" spans="1:17" ht="14.25" customHeight="1">
      <c r="A329" s="8">
        <v>45591</v>
      </c>
      <c r="B329" s="9" t="str">
        <f t="shared" si="0"/>
        <v>North</v>
      </c>
      <c r="C329" s="9" t="s">
        <v>12</v>
      </c>
      <c r="D329" s="10" t="s">
        <v>22</v>
      </c>
      <c r="E329" s="10" t="str">
        <f t="shared" si="1"/>
        <v>Bob</v>
      </c>
      <c r="F329" s="10" t="s">
        <v>14</v>
      </c>
      <c r="G329" s="9" t="s">
        <v>43</v>
      </c>
      <c r="H329" s="10" t="s">
        <v>55</v>
      </c>
      <c r="I329" s="10">
        <v>12</v>
      </c>
      <c r="J329" s="10">
        <v>259.44</v>
      </c>
      <c r="K329" s="10">
        <f t="shared" si="2"/>
        <v>3113.2799999999997</v>
      </c>
      <c r="L329" s="10" t="s">
        <v>181</v>
      </c>
      <c r="M329" s="10" t="str">
        <f t="shared" si="3"/>
        <v>CREDIT CARD</v>
      </c>
      <c r="N329" s="10" t="s">
        <v>75</v>
      </c>
      <c r="O329" s="10" t="str">
        <f t="shared" si="4"/>
        <v>Credit Card</v>
      </c>
      <c r="P329" s="10" t="s">
        <v>83</v>
      </c>
      <c r="Q329" s="10" t="str">
        <f t="shared" si="5"/>
        <v>Check Stock</v>
      </c>
    </row>
    <row r="330" spans="1:17" ht="14.25" customHeight="1">
      <c r="A330" s="8">
        <v>45391</v>
      </c>
      <c r="B330" s="9" t="str">
        <f t="shared" si="0"/>
        <v>North</v>
      </c>
      <c r="C330" s="9" t="s">
        <v>12</v>
      </c>
      <c r="D330" s="10" t="s">
        <v>62</v>
      </c>
      <c r="E330" s="10" t="str">
        <f t="shared" si="1"/>
        <v>Hannah</v>
      </c>
      <c r="F330" s="10" t="s">
        <v>23</v>
      </c>
      <c r="G330" s="9" t="s">
        <v>37</v>
      </c>
      <c r="H330" s="10" t="s">
        <v>30</v>
      </c>
      <c r="I330" s="10">
        <v>19</v>
      </c>
      <c r="J330" s="10">
        <v>357.94</v>
      </c>
      <c r="K330" s="10">
        <f t="shared" si="2"/>
        <v>6800.86</v>
      </c>
      <c r="L330" s="10" t="s">
        <v>364</v>
      </c>
      <c r="M330" s="10" t="str">
        <f t="shared" si="3"/>
        <v>CREDIT CARD</v>
      </c>
      <c r="N330" s="10" t="s">
        <v>75</v>
      </c>
      <c r="O330" s="10" t="str">
        <f t="shared" si="4"/>
        <v>Credit Card</v>
      </c>
      <c r="P330" s="9" t="s">
        <v>523</v>
      </c>
      <c r="Q330" s="9" t="str">
        <f t="shared" si="5"/>
        <v>No Comments</v>
      </c>
    </row>
    <row r="331" spans="1:17" ht="14.25" customHeight="1">
      <c r="A331" s="8">
        <v>45505</v>
      </c>
      <c r="B331" s="9" t="str">
        <f t="shared" si="0"/>
        <v>North</v>
      </c>
      <c r="C331" s="9" t="s">
        <v>12</v>
      </c>
      <c r="D331" s="10" t="s">
        <v>77</v>
      </c>
      <c r="E331" s="10" t="str">
        <f t="shared" si="1"/>
        <v>Diana</v>
      </c>
      <c r="F331" s="10" t="s">
        <v>36</v>
      </c>
      <c r="G331" s="9" t="s">
        <v>43</v>
      </c>
      <c r="H331" s="9" t="s">
        <v>91</v>
      </c>
      <c r="I331" s="10">
        <v>13</v>
      </c>
      <c r="J331" s="10">
        <v>472.1</v>
      </c>
      <c r="K331" s="10">
        <f t="shared" si="2"/>
        <v>6137.3</v>
      </c>
      <c r="L331" s="10" t="s">
        <v>102</v>
      </c>
      <c r="M331" s="10" t="str">
        <f t="shared" si="3"/>
        <v>BANK TRANSFER</v>
      </c>
      <c r="N331" s="10" t="s">
        <v>18</v>
      </c>
      <c r="O331" s="10" t="str">
        <f t="shared" si="4"/>
        <v>Bank Transfer</v>
      </c>
      <c r="P331" s="9" t="s">
        <v>523</v>
      </c>
      <c r="Q331" s="9" t="str">
        <f t="shared" si="5"/>
        <v>No Comments</v>
      </c>
    </row>
    <row r="332" spans="1:17" ht="14.25" customHeight="1">
      <c r="A332" s="8">
        <v>45389</v>
      </c>
      <c r="B332" s="9" t="str">
        <f t="shared" si="0"/>
        <v>North</v>
      </c>
      <c r="C332" s="9" t="s">
        <v>12</v>
      </c>
      <c r="D332" s="10" t="s">
        <v>28</v>
      </c>
      <c r="E332" s="10" t="str">
        <f t="shared" si="1"/>
        <v>George</v>
      </c>
      <c r="F332" s="10" t="s">
        <v>23</v>
      </c>
      <c r="G332" s="9" t="s">
        <v>37</v>
      </c>
      <c r="H332" s="10" t="s">
        <v>183</v>
      </c>
      <c r="I332" s="10">
        <v>1</v>
      </c>
      <c r="J332" s="10">
        <v>241.63</v>
      </c>
      <c r="K332" s="10">
        <f t="shared" si="2"/>
        <v>241.63</v>
      </c>
      <c r="L332" s="10" t="s">
        <v>465</v>
      </c>
      <c r="M332" s="10" t="str">
        <f t="shared" si="3"/>
        <v>MOBILE MONEY</v>
      </c>
      <c r="N332" s="10" t="s">
        <v>32</v>
      </c>
      <c r="O332" s="10" t="str">
        <f t="shared" si="4"/>
        <v>Mobile Money</v>
      </c>
      <c r="P332" s="10" t="s">
        <v>52</v>
      </c>
      <c r="Q332" s="10" t="str">
        <f t="shared" si="5"/>
        <v>Follow Up</v>
      </c>
    </row>
    <row r="333" spans="1:17" ht="14.25" customHeight="1">
      <c r="A333" s="8">
        <v>45334</v>
      </c>
      <c r="B333" s="10" t="str">
        <f t="shared" si="0"/>
        <v>West</v>
      </c>
      <c r="C333" s="10" t="s">
        <v>54</v>
      </c>
      <c r="D333" s="10" t="s">
        <v>22</v>
      </c>
      <c r="E333" s="10" t="str">
        <f t="shared" si="1"/>
        <v>Bob</v>
      </c>
      <c r="F333" s="10" t="s">
        <v>14</v>
      </c>
      <c r="G333" s="9" t="s">
        <v>43</v>
      </c>
      <c r="H333" s="10" t="s">
        <v>273</v>
      </c>
      <c r="I333" s="10">
        <v>3</v>
      </c>
      <c r="J333" s="10">
        <v>469.45</v>
      </c>
      <c r="K333" s="10">
        <f t="shared" si="2"/>
        <v>1408.35</v>
      </c>
      <c r="L333" s="10" t="s">
        <v>366</v>
      </c>
      <c r="M333" s="9" t="str">
        <f t="shared" si="3"/>
        <v>UNKONWN</v>
      </c>
      <c r="N333" s="9" t="s">
        <v>521</v>
      </c>
      <c r="O333" s="9" t="str">
        <f t="shared" si="4"/>
        <v>Unkonwn</v>
      </c>
      <c r="P333" s="10" t="s">
        <v>19</v>
      </c>
      <c r="Q333" s="10" t="str">
        <f t="shared" si="5"/>
        <v>Double Entry</v>
      </c>
    </row>
    <row r="334" spans="1:17" ht="14.25" customHeight="1">
      <c r="A334" s="8">
        <v>45584</v>
      </c>
      <c r="B334" s="9" t="str">
        <f t="shared" si="0"/>
        <v>Unknow</v>
      </c>
      <c r="C334" s="9" t="s">
        <v>522</v>
      </c>
      <c r="D334" s="10" t="s">
        <v>13</v>
      </c>
      <c r="E334" s="10" t="str">
        <f t="shared" si="1"/>
        <v>Faith</v>
      </c>
      <c r="F334" s="10" t="s">
        <v>47</v>
      </c>
      <c r="G334" s="9" t="s">
        <v>43</v>
      </c>
      <c r="H334" s="10" t="s">
        <v>106</v>
      </c>
      <c r="I334" s="10">
        <v>8</v>
      </c>
      <c r="J334" s="10">
        <v>140.46</v>
      </c>
      <c r="K334" s="10">
        <f t="shared" si="2"/>
        <v>1123.68</v>
      </c>
      <c r="L334" s="10" t="s">
        <v>432</v>
      </c>
      <c r="M334" s="10" t="str">
        <f t="shared" si="3"/>
        <v>BANK TRANSFER</v>
      </c>
      <c r="N334" s="10" t="s">
        <v>18</v>
      </c>
      <c r="O334" s="10" t="str">
        <f t="shared" si="4"/>
        <v>Bank Transfer</v>
      </c>
      <c r="P334" s="9" t="s">
        <v>523</v>
      </c>
      <c r="Q334" s="9" t="str">
        <f t="shared" si="5"/>
        <v>No Comments</v>
      </c>
    </row>
    <row r="335" spans="1:17" ht="14.25" customHeight="1">
      <c r="A335" s="8">
        <v>45356</v>
      </c>
      <c r="B335" s="9" t="str">
        <f t="shared" si="0"/>
        <v>North</v>
      </c>
      <c r="C335" s="9" t="s">
        <v>12</v>
      </c>
      <c r="D335" s="10" t="s">
        <v>87</v>
      </c>
      <c r="E335" s="10" t="str">
        <f t="shared" si="1"/>
        <v>Ethan</v>
      </c>
      <c r="F335" s="10" t="s">
        <v>23</v>
      </c>
      <c r="G335" s="9" t="s">
        <v>43</v>
      </c>
      <c r="H335" s="10" t="s">
        <v>71</v>
      </c>
      <c r="I335" s="10">
        <v>3</v>
      </c>
      <c r="J335" s="10">
        <v>40.119999999999997</v>
      </c>
      <c r="K335" s="10">
        <f t="shared" si="2"/>
        <v>120.35999999999999</v>
      </c>
      <c r="L335" s="10" t="s">
        <v>211</v>
      </c>
      <c r="M335" s="10" t="str">
        <f t="shared" si="3"/>
        <v>CASH</v>
      </c>
      <c r="N335" s="10" t="s">
        <v>65</v>
      </c>
      <c r="O335" s="10" t="str">
        <f t="shared" si="4"/>
        <v>Cash</v>
      </c>
      <c r="P335" s="9" t="s">
        <v>523</v>
      </c>
      <c r="Q335" s="9" t="str">
        <f t="shared" si="5"/>
        <v>No Comments</v>
      </c>
    </row>
    <row r="336" spans="1:17" ht="14.25" customHeight="1">
      <c r="A336" s="8">
        <v>45331</v>
      </c>
      <c r="B336" s="9" t="str">
        <f t="shared" si="0"/>
        <v>Unknow</v>
      </c>
      <c r="C336" s="9" t="s">
        <v>522</v>
      </c>
      <c r="D336" s="10" t="s">
        <v>13</v>
      </c>
      <c r="E336" s="10" t="str">
        <f t="shared" si="1"/>
        <v>Faith</v>
      </c>
      <c r="F336" s="10" t="s">
        <v>50</v>
      </c>
      <c r="G336" s="9" t="s">
        <v>37</v>
      </c>
      <c r="H336" s="10" t="s">
        <v>183</v>
      </c>
      <c r="I336" s="10">
        <v>7</v>
      </c>
      <c r="J336" s="10">
        <v>165.76</v>
      </c>
      <c r="K336" s="10">
        <f t="shared" si="2"/>
        <v>1160.32</v>
      </c>
      <c r="L336" s="10" t="s">
        <v>467</v>
      </c>
      <c r="M336" s="10" t="str">
        <f t="shared" si="3"/>
        <v>CASH</v>
      </c>
      <c r="N336" s="10" t="s">
        <v>65</v>
      </c>
      <c r="O336" s="10" t="str">
        <f t="shared" si="4"/>
        <v>Cash</v>
      </c>
      <c r="P336" s="10" t="s">
        <v>19</v>
      </c>
      <c r="Q336" s="10" t="str">
        <f t="shared" si="5"/>
        <v>Double Entry</v>
      </c>
    </row>
    <row r="337" spans="1:17" ht="14.25" customHeight="1">
      <c r="A337" s="8">
        <v>45585</v>
      </c>
      <c r="B337" s="9" t="str">
        <f t="shared" si="0"/>
        <v>North</v>
      </c>
      <c r="C337" s="9" t="s">
        <v>12</v>
      </c>
      <c r="D337" s="10" t="s">
        <v>13</v>
      </c>
      <c r="E337" s="10" t="str">
        <f t="shared" si="1"/>
        <v>Faith</v>
      </c>
      <c r="F337" s="10" t="s">
        <v>50</v>
      </c>
      <c r="G337" s="9" t="s">
        <v>43</v>
      </c>
      <c r="H337" s="10" t="s">
        <v>117</v>
      </c>
      <c r="I337" s="10">
        <v>3</v>
      </c>
      <c r="J337" s="10">
        <v>131.78</v>
      </c>
      <c r="K337" s="10">
        <f t="shared" si="2"/>
        <v>395.34000000000003</v>
      </c>
      <c r="L337" s="10" t="s">
        <v>220</v>
      </c>
      <c r="M337" s="9" t="str">
        <f t="shared" si="3"/>
        <v>UNKONWN</v>
      </c>
      <c r="N337" s="9" t="s">
        <v>521</v>
      </c>
      <c r="O337" s="9" t="str">
        <f t="shared" si="4"/>
        <v>Unkonwn</v>
      </c>
      <c r="P337" s="9" t="s">
        <v>523</v>
      </c>
      <c r="Q337" s="9" t="str">
        <f t="shared" si="5"/>
        <v>No Comments</v>
      </c>
    </row>
    <row r="338" spans="1:17" ht="14.25" customHeight="1">
      <c r="A338" s="8">
        <v>45519</v>
      </c>
      <c r="B338" s="9" t="str">
        <f t="shared" si="0"/>
        <v>North</v>
      </c>
      <c r="C338" s="9" t="s">
        <v>12</v>
      </c>
      <c r="D338" s="10" t="s">
        <v>87</v>
      </c>
      <c r="E338" s="10" t="str">
        <f t="shared" si="1"/>
        <v>Ethan</v>
      </c>
      <c r="F338" s="10" t="s">
        <v>50</v>
      </c>
      <c r="G338" s="9" t="s">
        <v>43</v>
      </c>
      <c r="H338" s="10" t="s">
        <v>71</v>
      </c>
      <c r="I338" s="10">
        <v>7</v>
      </c>
      <c r="J338" s="10">
        <v>113.97</v>
      </c>
      <c r="K338" s="10">
        <f t="shared" si="2"/>
        <v>797.79</v>
      </c>
      <c r="L338" s="10" t="s">
        <v>321</v>
      </c>
      <c r="M338" s="10" t="str">
        <f t="shared" si="3"/>
        <v xml:space="preserve">MOBILE MONEY </v>
      </c>
      <c r="N338" s="10" t="s">
        <v>57</v>
      </c>
      <c r="O338" s="10" t="str">
        <f t="shared" si="4"/>
        <v xml:space="preserve">Mobile Money </v>
      </c>
      <c r="P338" s="10" t="s">
        <v>83</v>
      </c>
      <c r="Q338" s="10" t="str">
        <f t="shared" si="5"/>
        <v>Check Stock</v>
      </c>
    </row>
    <row r="339" spans="1:17" ht="14.25" customHeight="1">
      <c r="A339" s="8">
        <v>45584</v>
      </c>
      <c r="B339" s="9" t="str">
        <f t="shared" si="0"/>
        <v>North</v>
      </c>
      <c r="C339" s="9" t="s">
        <v>12</v>
      </c>
      <c r="D339" s="10" t="s">
        <v>28</v>
      </c>
      <c r="E339" s="10" t="str">
        <f t="shared" si="1"/>
        <v>George</v>
      </c>
      <c r="F339" s="10" t="s">
        <v>23</v>
      </c>
      <c r="G339" s="9" t="s">
        <v>15</v>
      </c>
      <c r="H339" s="10" t="s">
        <v>273</v>
      </c>
      <c r="I339" s="10">
        <v>17</v>
      </c>
      <c r="J339" s="10">
        <v>150.63999999999999</v>
      </c>
      <c r="K339" s="10">
        <f t="shared" si="2"/>
        <v>2560.8799999999997</v>
      </c>
      <c r="L339" s="10" t="s">
        <v>407</v>
      </c>
      <c r="M339" s="10" t="str">
        <f t="shared" si="3"/>
        <v>CASH</v>
      </c>
      <c r="N339" s="10" t="s">
        <v>93</v>
      </c>
      <c r="O339" s="10" t="str">
        <f t="shared" si="4"/>
        <v>Cash</v>
      </c>
      <c r="P339" s="10" t="s">
        <v>19</v>
      </c>
      <c r="Q339" s="10" t="str">
        <f t="shared" si="5"/>
        <v>Double Entry</v>
      </c>
    </row>
    <row r="340" spans="1:17" ht="14.25" customHeight="1">
      <c r="A340" s="8">
        <v>45578</v>
      </c>
      <c r="B340" s="10" t="str">
        <f t="shared" si="0"/>
        <v>West</v>
      </c>
      <c r="C340" s="10" t="s">
        <v>54</v>
      </c>
      <c r="D340" s="10" t="s">
        <v>87</v>
      </c>
      <c r="E340" s="10" t="str">
        <f t="shared" si="1"/>
        <v>Ethan</v>
      </c>
      <c r="F340" s="10" t="s">
        <v>29</v>
      </c>
      <c r="G340" s="9" t="s">
        <v>43</v>
      </c>
      <c r="H340" s="10" t="s">
        <v>183</v>
      </c>
      <c r="I340" s="10">
        <v>17</v>
      </c>
      <c r="J340" s="10">
        <v>489.34</v>
      </c>
      <c r="K340" s="10">
        <f t="shared" si="2"/>
        <v>8318.7799999999988</v>
      </c>
      <c r="L340" s="10" t="s">
        <v>356</v>
      </c>
      <c r="M340" s="10" t="str">
        <f t="shared" si="3"/>
        <v>CREDIT CARD</v>
      </c>
      <c r="N340" s="10" t="s">
        <v>75</v>
      </c>
      <c r="O340" s="10" t="str">
        <f t="shared" si="4"/>
        <v>Credit Card</v>
      </c>
      <c r="P340" s="10" t="s">
        <v>33</v>
      </c>
      <c r="Q340" s="10" t="str">
        <f t="shared" si="5"/>
        <v>Priority</v>
      </c>
    </row>
    <row r="341" spans="1:17" ht="14.25" customHeight="1">
      <c r="A341" s="8">
        <v>45422</v>
      </c>
      <c r="B341" s="9" t="str">
        <f t="shared" si="0"/>
        <v>North</v>
      </c>
      <c r="C341" s="9" t="s">
        <v>12</v>
      </c>
      <c r="D341" s="10" t="s">
        <v>59</v>
      </c>
      <c r="E341" s="10" t="str">
        <f t="shared" si="1"/>
        <v>Charlie</v>
      </c>
      <c r="F341" s="10" t="s">
        <v>36</v>
      </c>
      <c r="G341" s="9" t="s">
        <v>15</v>
      </c>
      <c r="H341" s="10" t="s">
        <v>213</v>
      </c>
      <c r="I341" s="10">
        <v>2</v>
      </c>
      <c r="J341" s="10">
        <v>334.56</v>
      </c>
      <c r="K341" s="10">
        <f t="shared" si="2"/>
        <v>669.12</v>
      </c>
      <c r="L341" s="10" t="s">
        <v>471</v>
      </c>
      <c r="M341" s="10" t="str">
        <f t="shared" si="3"/>
        <v xml:space="preserve">MOBILE MONEY </v>
      </c>
      <c r="N341" s="10" t="s">
        <v>57</v>
      </c>
      <c r="O341" s="10" t="str">
        <f t="shared" si="4"/>
        <v xml:space="preserve">Mobile Money </v>
      </c>
      <c r="P341" s="9" t="s">
        <v>523</v>
      </c>
      <c r="Q341" s="9" t="str">
        <f t="shared" si="5"/>
        <v>No Comments</v>
      </c>
    </row>
    <row r="342" spans="1:17" ht="14.25" customHeight="1">
      <c r="A342" s="8">
        <v>45357</v>
      </c>
      <c r="B342" s="10" t="str">
        <f t="shared" si="0"/>
        <v>SOUTH</v>
      </c>
      <c r="C342" s="10" t="s">
        <v>46</v>
      </c>
      <c r="D342" s="10" t="s">
        <v>87</v>
      </c>
      <c r="E342" s="10" t="str">
        <f t="shared" si="1"/>
        <v>Ethan</v>
      </c>
      <c r="F342" s="10" t="s">
        <v>29</v>
      </c>
      <c r="G342" s="9" t="s">
        <v>37</v>
      </c>
      <c r="H342" s="10" t="s">
        <v>169</v>
      </c>
      <c r="I342" s="10">
        <v>2</v>
      </c>
      <c r="J342" s="10">
        <v>399.17</v>
      </c>
      <c r="K342" s="10">
        <f t="shared" si="2"/>
        <v>798.34</v>
      </c>
      <c r="L342" s="10" t="s">
        <v>321</v>
      </c>
      <c r="M342" s="10" t="str">
        <f t="shared" si="3"/>
        <v>MOBILE MONEY</v>
      </c>
      <c r="N342" s="10" t="s">
        <v>32</v>
      </c>
      <c r="O342" s="10" t="str">
        <f t="shared" si="4"/>
        <v>Mobile Money</v>
      </c>
      <c r="P342" s="10" t="s">
        <v>19</v>
      </c>
      <c r="Q342" s="10" t="str">
        <f t="shared" si="5"/>
        <v>Double Entry</v>
      </c>
    </row>
    <row r="343" spans="1:17" ht="14.25" customHeight="1">
      <c r="A343" s="8">
        <v>45504</v>
      </c>
      <c r="B343" s="10" t="str">
        <f t="shared" si="0"/>
        <v>East</v>
      </c>
      <c r="C343" s="10" t="s">
        <v>35</v>
      </c>
      <c r="D343" s="10" t="s">
        <v>28</v>
      </c>
      <c r="E343" s="10" t="str">
        <f t="shared" si="1"/>
        <v>George</v>
      </c>
      <c r="F343" s="10" t="s">
        <v>50</v>
      </c>
      <c r="G343" s="9" t="s">
        <v>15</v>
      </c>
      <c r="H343" s="10" t="s">
        <v>63</v>
      </c>
      <c r="I343" s="10">
        <v>19</v>
      </c>
      <c r="J343" s="10">
        <v>272.68</v>
      </c>
      <c r="K343" s="10">
        <f t="shared" si="2"/>
        <v>5180.92</v>
      </c>
      <c r="L343" s="10" t="s">
        <v>219</v>
      </c>
      <c r="M343" s="10" t="str">
        <f t="shared" si="3"/>
        <v xml:space="preserve">MOBILE MONEY </v>
      </c>
      <c r="N343" s="10" t="s">
        <v>57</v>
      </c>
      <c r="O343" s="10" t="str">
        <f t="shared" si="4"/>
        <v xml:space="preserve">Mobile Money </v>
      </c>
      <c r="P343" s="10" t="s">
        <v>52</v>
      </c>
      <c r="Q343" s="10" t="str">
        <f t="shared" si="5"/>
        <v>Follow Up</v>
      </c>
    </row>
    <row r="344" spans="1:17" ht="14.25" customHeight="1">
      <c r="A344" s="8">
        <v>45480</v>
      </c>
      <c r="B344" s="9" t="str">
        <f t="shared" si="0"/>
        <v>North</v>
      </c>
      <c r="C344" s="9" t="s">
        <v>12</v>
      </c>
      <c r="D344" s="10" t="s">
        <v>28</v>
      </c>
      <c r="E344" s="10" t="str">
        <f t="shared" si="1"/>
        <v>George</v>
      </c>
      <c r="F344" s="10" t="s">
        <v>47</v>
      </c>
      <c r="G344" s="9" t="s">
        <v>37</v>
      </c>
      <c r="H344" s="10" t="s">
        <v>106</v>
      </c>
      <c r="I344" s="10">
        <v>13</v>
      </c>
      <c r="J344" s="10">
        <v>34.68</v>
      </c>
      <c r="K344" s="10">
        <f t="shared" si="2"/>
        <v>450.84</v>
      </c>
      <c r="L344" s="10" t="s">
        <v>374</v>
      </c>
      <c r="M344" s="10" t="str">
        <f t="shared" si="3"/>
        <v>BANK TRANSFER</v>
      </c>
      <c r="N344" s="10" t="s">
        <v>18</v>
      </c>
      <c r="O344" s="10" t="str">
        <f t="shared" si="4"/>
        <v>Bank Transfer</v>
      </c>
      <c r="P344" s="9" t="s">
        <v>523</v>
      </c>
      <c r="Q344" s="9" t="str">
        <f t="shared" si="5"/>
        <v>No Comments</v>
      </c>
    </row>
    <row r="345" spans="1:17" ht="14.25" customHeight="1">
      <c r="A345" s="8">
        <v>45357</v>
      </c>
      <c r="B345" s="9" t="str">
        <f t="shared" si="0"/>
        <v>North</v>
      </c>
      <c r="C345" s="9" t="s">
        <v>12</v>
      </c>
      <c r="D345" s="10" t="s">
        <v>42</v>
      </c>
      <c r="E345" s="10" t="str">
        <f t="shared" si="1"/>
        <v>Alice</v>
      </c>
      <c r="F345" s="10" t="s">
        <v>29</v>
      </c>
      <c r="G345" s="9" t="s">
        <v>15</v>
      </c>
      <c r="H345" s="10" t="s">
        <v>78</v>
      </c>
      <c r="I345" s="10">
        <v>13</v>
      </c>
      <c r="J345" s="10">
        <v>44.09</v>
      </c>
      <c r="K345" s="10">
        <f t="shared" si="2"/>
        <v>573.17000000000007</v>
      </c>
      <c r="L345" s="10" t="s">
        <v>74</v>
      </c>
      <c r="M345" s="10" t="str">
        <f t="shared" si="3"/>
        <v>BANK TRANSFER</v>
      </c>
      <c r="N345" s="10" t="s">
        <v>18</v>
      </c>
      <c r="O345" s="10" t="str">
        <f t="shared" si="4"/>
        <v>Bank Transfer</v>
      </c>
      <c r="P345" s="10" t="s">
        <v>52</v>
      </c>
      <c r="Q345" s="10" t="str">
        <f t="shared" si="5"/>
        <v>Follow Up</v>
      </c>
    </row>
    <row r="346" spans="1:17" ht="14.25" customHeight="1">
      <c r="A346" s="8">
        <v>45502</v>
      </c>
      <c r="B346" s="9" t="str">
        <f t="shared" si="0"/>
        <v>North</v>
      </c>
      <c r="C346" s="9" t="s">
        <v>12</v>
      </c>
      <c r="D346" s="10" t="s">
        <v>13</v>
      </c>
      <c r="E346" s="10" t="str">
        <f t="shared" si="1"/>
        <v>Faith</v>
      </c>
      <c r="F346" s="10" t="s">
        <v>14</v>
      </c>
      <c r="G346" s="9" t="s">
        <v>521</v>
      </c>
      <c r="H346" s="10" t="s">
        <v>38</v>
      </c>
      <c r="I346" s="10">
        <v>16</v>
      </c>
      <c r="J346" s="10">
        <v>342.8</v>
      </c>
      <c r="K346" s="10">
        <f t="shared" si="2"/>
        <v>5484.8</v>
      </c>
      <c r="L346" s="10" t="s">
        <v>473</v>
      </c>
      <c r="M346" s="10" t="str">
        <f t="shared" si="3"/>
        <v>BANK TRANSFER</v>
      </c>
      <c r="N346" s="10" t="s">
        <v>18</v>
      </c>
      <c r="O346" s="10" t="str">
        <f t="shared" si="4"/>
        <v>Bank Transfer</v>
      </c>
      <c r="P346" s="10" t="s">
        <v>83</v>
      </c>
      <c r="Q346" s="10" t="str">
        <f t="shared" si="5"/>
        <v>Check Stock</v>
      </c>
    </row>
    <row r="347" spans="1:17" ht="14.25" customHeight="1">
      <c r="A347" s="8">
        <v>45464</v>
      </c>
      <c r="B347" s="10" t="str">
        <f t="shared" si="0"/>
        <v>SOUTH</v>
      </c>
      <c r="C347" s="10" t="s">
        <v>46</v>
      </c>
      <c r="D347" s="10" t="s">
        <v>62</v>
      </c>
      <c r="E347" s="10" t="str">
        <f t="shared" si="1"/>
        <v>Hannah</v>
      </c>
      <c r="F347" s="10" t="s">
        <v>23</v>
      </c>
      <c r="G347" s="9" t="s">
        <v>43</v>
      </c>
      <c r="H347" s="10" t="s">
        <v>38</v>
      </c>
      <c r="I347" s="10">
        <v>14</v>
      </c>
      <c r="J347" s="10">
        <v>439.88</v>
      </c>
      <c r="K347" s="10">
        <f t="shared" si="2"/>
        <v>6158.32</v>
      </c>
      <c r="L347" s="10" t="s">
        <v>297</v>
      </c>
      <c r="M347" s="10" t="str">
        <f t="shared" si="3"/>
        <v>BANK TRANSFER</v>
      </c>
      <c r="N347" s="10" t="s">
        <v>18</v>
      </c>
      <c r="O347" s="10" t="str">
        <f t="shared" si="4"/>
        <v>Bank Transfer</v>
      </c>
      <c r="P347" s="10" t="s">
        <v>19</v>
      </c>
      <c r="Q347" s="10" t="str">
        <f t="shared" si="5"/>
        <v>Double Entry</v>
      </c>
    </row>
    <row r="348" spans="1:17" ht="14.25" customHeight="1">
      <c r="A348" s="8">
        <v>45435</v>
      </c>
      <c r="B348" s="9" t="str">
        <f t="shared" si="0"/>
        <v>North</v>
      </c>
      <c r="C348" s="9" t="s">
        <v>12</v>
      </c>
      <c r="D348" s="10" t="s">
        <v>13</v>
      </c>
      <c r="E348" s="10" t="str">
        <f t="shared" si="1"/>
        <v>Faith</v>
      </c>
      <c r="F348" s="10" t="s">
        <v>23</v>
      </c>
      <c r="G348" s="9" t="s">
        <v>37</v>
      </c>
      <c r="H348" s="10" t="s">
        <v>106</v>
      </c>
      <c r="I348" s="10">
        <v>6</v>
      </c>
      <c r="J348" s="10">
        <v>117.23</v>
      </c>
      <c r="K348" s="10">
        <f t="shared" si="2"/>
        <v>703.38</v>
      </c>
      <c r="L348" s="10" t="s">
        <v>97</v>
      </c>
      <c r="M348" s="10" t="str">
        <f t="shared" si="3"/>
        <v>CASH</v>
      </c>
      <c r="N348" s="10" t="s">
        <v>93</v>
      </c>
      <c r="O348" s="10" t="str">
        <f t="shared" si="4"/>
        <v>Cash</v>
      </c>
      <c r="P348" s="9" t="s">
        <v>523</v>
      </c>
      <c r="Q348" s="9" t="str">
        <f t="shared" si="5"/>
        <v>No Comments</v>
      </c>
    </row>
    <row r="349" spans="1:17" ht="14.25" customHeight="1">
      <c r="A349" s="8">
        <v>45482</v>
      </c>
      <c r="B349" s="10" t="str">
        <f t="shared" si="0"/>
        <v>East</v>
      </c>
      <c r="C349" s="10" t="s">
        <v>146</v>
      </c>
      <c r="D349" s="10" t="s">
        <v>22</v>
      </c>
      <c r="E349" s="10" t="str">
        <f t="shared" si="1"/>
        <v>Bob</v>
      </c>
      <c r="F349" s="10" t="s">
        <v>50</v>
      </c>
      <c r="G349" s="9" t="s">
        <v>43</v>
      </c>
      <c r="H349" s="10" t="s">
        <v>112</v>
      </c>
      <c r="I349" s="10">
        <v>17</v>
      </c>
      <c r="J349" s="10">
        <v>112.34</v>
      </c>
      <c r="K349" s="10">
        <f t="shared" si="2"/>
        <v>1909.78</v>
      </c>
      <c r="L349" s="10" t="s">
        <v>476</v>
      </c>
      <c r="M349" s="10" t="str">
        <f t="shared" si="3"/>
        <v>CASH</v>
      </c>
      <c r="N349" s="10" t="s">
        <v>93</v>
      </c>
      <c r="O349" s="10" t="str">
        <f t="shared" si="4"/>
        <v>Cash</v>
      </c>
      <c r="P349" s="10" t="s">
        <v>52</v>
      </c>
      <c r="Q349" s="10" t="str">
        <f t="shared" si="5"/>
        <v>Follow Up</v>
      </c>
    </row>
    <row r="350" spans="1:17" ht="14.25" customHeight="1">
      <c r="A350" s="8">
        <v>45439</v>
      </c>
      <c r="B350" s="9" t="str">
        <f t="shared" si="0"/>
        <v>Unknow</v>
      </c>
      <c r="C350" s="9" t="s">
        <v>522</v>
      </c>
      <c r="D350" s="10" t="s">
        <v>59</v>
      </c>
      <c r="E350" s="10" t="str">
        <f t="shared" si="1"/>
        <v>Charlie</v>
      </c>
      <c r="F350" s="10" t="s">
        <v>14</v>
      </c>
      <c r="G350" s="9" t="s">
        <v>37</v>
      </c>
      <c r="H350" s="10" t="s">
        <v>127</v>
      </c>
      <c r="I350" s="10">
        <v>18</v>
      </c>
      <c r="J350" s="10">
        <v>105.36</v>
      </c>
      <c r="K350" s="10">
        <f t="shared" si="2"/>
        <v>1896.48</v>
      </c>
      <c r="L350" s="10" t="s">
        <v>462</v>
      </c>
      <c r="M350" s="10" t="str">
        <f t="shared" si="3"/>
        <v>BANK TRANSFER</v>
      </c>
      <c r="N350" s="10" t="s">
        <v>18</v>
      </c>
      <c r="O350" s="10" t="str">
        <f t="shared" si="4"/>
        <v>Bank Transfer</v>
      </c>
      <c r="P350" s="10" t="s">
        <v>83</v>
      </c>
      <c r="Q350" s="10" t="str">
        <f t="shared" si="5"/>
        <v>Check Stock</v>
      </c>
    </row>
    <row r="351" spans="1:17" ht="14.25" customHeight="1">
      <c r="A351" s="8">
        <v>45402</v>
      </c>
      <c r="B351" s="10" t="str">
        <f t="shared" si="0"/>
        <v>West</v>
      </c>
      <c r="C351" s="10" t="s">
        <v>54</v>
      </c>
      <c r="D351" s="10" t="s">
        <v>87</v>
      </c>
      <c r="E351" s="10" t="str">
        <f t="shared" si="1"/>
        <v>Ethan</v>
      </c>
      <c r="F351" s="10" t="s">
        <v>23</v>
      </c>
      <c r="G351" s="10" t="s">
        <v>70</v>
      </c>
      <c r="H351" s="10" t="s">
        <v>169</v>
      </c>
      <c r="I351" s="10">
        <v>14</v>
      </c>
      <c r="J351" s="10">
        <v>220.39</v>
      </c>
      <c r="K351" s="10">
        <f t="shared" si="2"/>
        <v>3085.46</v>
      </c>
      <c r="L351" s="10" t="s">
        <v>478</v>
      </c>
      <c r="M351" s="10" t="str">
        <f t="shared" si="3"/>
        <v>MOBILE MONEY</v>
      </c>
      <c r="N351" s="10" t="s">
        <v>32</v>
      </c>
      <c r="O351" s="10" t="str">
        <f t="shared" si="4"/>
        <v>Mobile Money</v>
      </c>
      <c r="P351" s="10" t="s">
        <v>19</v>
      </c>
      <c r="Q351" s="10" t="str">
        <f t="shared" si="5"/>
        <v>Double Entry</v>
      </c>
    </row>
    <row r="352" spans="1:17" ht="14.25" customHeight="1">
      <c r="A352" s="8">
        <v>45481</v>
      </c>
      <c r="B352" s="9" t="str">
        <f t="shared" si="0"/>
        <v>North</v>
      </c>
      <c r="C352" s="9" t="s">
        <v>12</v>
      </c>
      <c r="D352" s="10" t="s">
        <v>42</v>
      </c>
      <c r="E352" s="10" t="str">
        <f t="shared" si="1"/>
        <v>Alice</v>
      </c>
      <c r="F352" s="10" t="s">
        <v>50</v>
      </c>
      <c r="G352" s="9" t="s">
        <v>521</v>
      </c>
      <c r="H352" s="10" t="s">
        <v>127</v>
      </c>
      <c r="I352" s="10">
        <v>9</v>
      </c>
      <c r="J352" s="10">
        <v>89.2</v>
      </c>
      <c r="K352" s="10">
        <f t="shared" si="2"/>
        <v>802.80000000000007</v>
      </c>
      <c r="L352" s="10" t="s">
        <v>31</v>
      </c>
      <c r="M352" s="10" t="str">
        <f t="shared" si="3"/>
        <v>MOBILE MONEY</v>
      </c>
      <c r="N352" s="10" t="s">
        <v>32</v>
      </c>
      <c r="O352" s="10" t="str">
        <f t="shared" si="4"/>
        <v>Mobile Money</v>
      </c>
      <c r="P352" s="10" t="s">
        <v>52</v>
      </c>
      <c r="Q352" s="10" t="str">
        <f t="shared" si="5"/>
        <v>Follow Up</v>
      </c>
    </row>
    <row r="353" spans="1:17" ht="14.25" customHeight="1">
      <c r="A353" s="8">
        <v>45413</v>
      </c>
      <c r="B353" s="9" t="str">
        <f t="shared" si="0"/>
        <v>North</v>
      </c>
      <c r="C353" s="9" t="s">
        <v>12</v>
      </c>
      <c r="D353" s="10" t="s">
        <v>87</v>
      </c>
      <c r="E353" s="10" t="str">
        <f t="shared" si="1"/>
        <v>Ethan</v>
      </c>
      <c r="F353" s="10" t="s">
        <v>36</v>
      </c>
      <c r="G353" s="9" t="s">
        <v>43</v>
      </c>
      <c r="H353" s="10" t="s">
        <v>25</v>
      </c>
      <c r="I353" s="10">
        <v>15</v>
      </c>
      <c r="J353" s="10">
        <v>400.11</v>
      </c>
      <c r="K353" s="10">
        <f t="shared" si="2"/>
        <v>6001.6500000000005</v>
      </c>
      <c r="L353" s="10" t="s">
        <v>366</v>
      </c>
      <c r="M353" s="10" t="str">
        <f t="shared" si="3"/>
        <v>CREDIT CARD</v>
      </c>
      <c r="N353" s="10" t="s">
        <v>75</v>
      </c>
      <c r="O353" s="10" t="str">
        <f t="shared" si="4"/>
        <v>Credit Card</v>
      </c>
      <c r="P353" s="10" t="s">
        <v>40</v>
      </c>
      <c r="Q353" s="10" t="str">
        <f t="shared" si="5"/>
        <v>Urgent</v>
      </c>
    </row>
    <row r="354" spans="1:17" ht="14.25" customHeight="1">
      <c r="A354" s="8">
        <v>45408</v>
      </c>
      <c r="B354" s="10" t="str">
        <f t="shared" si="0"/>
        <v>East</v>
      </c>
      <c r="C354" s="10" t="s">
        <v>146</v>
      </c>
      <c r="D354" s="10" t="s">
        <v>59</v>
      </c>
      <c r="E354" s="10" t="str">
        <f t="shared" si="1"/>
        <v>Charlie</v>
      </c>
      <c r="F354" s="10" t="s">
        <v>29</v>
      </c>
      <c r="G354" s="10" t="s">
        <v>24</v>
      </c>
      <c r="H354" s="10" t="s">
        <v>169</v>
      </c>
      <c r="I354" s="10">
        <v>2</v>
      </c>
      <c r="J354" s="10">
        <v>280.44</v>
      </c>
      <c r="K354" s="10">
        <f t="shared" si="2"/>
        <v>560.88</v>
      </c>
      <c r="L354" s="10" t="s">
        <v>175</v>
      </c>
      <c r="M354" s="10" t="str">
        <f t="shared" si="3"/>
        <v>BANK TRANSFER</v>
      </c>
      <c r="N354" s="10" t="s">
        <v>18</v>
      </c>
      <c r="O354" s="10" t="str">
        <f t="shared" si="4"/>
        <v>Bank Transfer</v>
      </c>
      <c r="P354" s="10" t="s">
        <v>83</v>
      </c>
      <c r="Q354" s="10" t="str">
        <f t="shared" si="5"/>
        <v>Check Stock</v>
      </c>
    </row>
    <row r="355" spans="1:17" ht="14.25" customHeight="1">
      <c r="A355" s="8">
        <v>45332</v>
      </c>
      <c r="B355" s="10" t="str">
        <f t="shared" si="0"/>
        <v>East</v>
      </c>
      <c r="C355" s="10" t="s">
        <v>146</v>
      </c>
      <c r="D355" s="10" t="s">
        <v>28</v>
      </c>
      <c r="E355" s="10" t="str">
        <f t="shared" si="1"/>
        <v>George</v>
      </c>
      <c r="F355" s="10" t="s">
        <v>14</v>
      </c>
      <c r="G355" s="9" t="s">
        <v>37</v>
      </c>
      <c r="H355" s="10" t="s">
        <v>16</v>
      </c>
      <c r="I355" s="10">
        <v>4</v>
      </c>
      <c r="J355" s="10">
        <v>108.89</v>
      </c>
      <c r="K355" s="10">
        <f t="shared" si="2"/>
        <v>435.56</v>
      </c>
      <c r="L355" s="10" t="s">
        <v>479</v>
      </c>
      <c r="M355" s="10" t="str">
        <f t="shared" si="3"/>
        <v>CREDIT CARD</v>
      </c>
      <c r="N355" s="10" t="s">
        <v>75</v>
      </c>
      <c r="O355" s="10" t="str">
        <f t="shared" si="4"/>
        <v>Credit Card</v>
      </c>
      <c r="P355" s="9" t="s">
        <v>523</v>
      </c>
      <c r="Q355" s="9" t="str">
        <f t="shared" si="5"/>
        <v>No Comments</v>
      </c>
    </row>
    <row r="356" spans="1:17" ht="14.25" customHeight="1">
      <c r="A356" s="8">
        <v>45336</v>
      </c>
      <c r="B356" s="9" t="str">
        <f t="shared" si="0"/>
        <v>Unknow</v>
      </c>
      <c r="C356" s="9" t="s">
        <v>522</v>
      </c>
      <c r="D356" s="10" t="s">
        <v>77</v>
      </c>
      <c r="E356" s="10" t="str">
        <f t="shared" si="1"/>
        <v>Diana</v>
      </c>
      <c r="F356" s="10" t="s">
        <v>50</v>
      </c>
      <c r="G356" s="9" t="s">
        <v>521</v>
      </c>
      <c r="H356" s="10" t="s">
        <v>127</v>
      </c>
      <c r="I356" s="10">
        <v>12</v>
      </c>
      <c r="J356" s="10">
        <v>394.37</v>
      </c>
      <c r="K356" s="10">
        <f t="shared" si="2"/>
        <v>4732.4400000000005</v>
      </c>
      <c r="L356" s="10" t="s">
        <v>230</v>
      </c>
      <c r="M356" s="10" t="str">
        <f t="shared" si="3"/>
        <v xml:space="preserve">MOBILE MONEY </v>
      </c>
      <c r="N356" s="10" t="s">
        <v>57</v>
      </c>
      <c r="O356" s="10" t="str">
        <f t="shared" si="4"/>
        <v xml:space="preserve">Mobile Money </v>
      </c>
      <c r="P356" s="9" t="s">
        <v>523</v>
      </c>
      <c r="Q356" s="9" t="str">
        <f t="shared" si="5"/>
        <v>No Comments</v>
      </c>
    </row>
    <row r="357" spans="1:17" ht="14.25" customHeight="1">
      <c r="A357" s="8">
        <v>45442</v>
      </c>
      <c r="B357" s="10" t="str">
        <f t="shared" si="0"/>
        <v>SOUTH</v>
      </c>
      <c r="C357" s="10" t="s">
        <v>46</v>
      </c>
      <c r="D357" s="10" t="s">
        <v>13</v>
      </c>
      <c r="E357" s="10" t="str">
        <f t="shared" si="1"/>
        <v>Faith</v>
      </c>
      <c r="F357" s="10" t="s">
        <v>29</v>
      </c>
      <c r="G357" s="9" t="s">
        <v>521</v>
      </c>
      <c r="H357" s="10" t="s">
        <v>30</v>
      </c>
      <c r="I357" s="10">
        <v>15</v>
      </c>
      <c r="J357" s="10">
        <v>294</v>
      </c>
      <c r="K357" s="10">
        <f t="shared" si="2"/>
        <v>4410</v>
      </c>
      <c r="L357" s="10" t="s">
        <v>478</v>
      </c>
      <c r="M357" s="10" t="str">
        <f t="shared" si="3"/>
        <v>CREDIT CARD</v>
      </c>
      <c r="N357" s="10" t="s">
        <v>75</v>
      </c>
      <c r="O357" s="10" t="str">
        <f t="shared" si="4"/>
        <v>Credit Card</v>
      </c>
      <c r="P357" s="10" t="s">
        <v>83</v>
      </c>
      <c r="Q357" s="10" t="str">
        <f t="shared" si="5"/>
        <v>Check Stock</v>
      </c>
    </row>
    <row r="358" spans="1:17" ht="14.25" customHeight="1">
      <c r="A358" s="8">
        <v>45497</v>
      </c>
      <c r="B358" s="10" t="str">
        <f t="shared" si="0"/>
        <v>East</v>
      </c>
      <c r="C358" s="10" t="s">
        <v>35</v>
      </c>
      <c r="D358" s="10" t="s">
        <v>59</v>
      </c>
      <c r="E358" s="10" t="str">
        <f t="shared" si="1"/>
        <v>Charlie</v>
      </c>
      <c r="F358" s="10" t="s">
        <v>36</v>
      </c>
      <c r="G358" s="9" t="s">
        <v>37</v>
      </c>
      <c r="H358" s="10" t="s">
        <v>71</v>
      </c>
      <c r="I358" s="10">
        <v>8</v>
      </c>
      <c r="J358" s="10">
        <v>270.41000000000003</v>
      </c>
      <c r="K358" s="10">
        <f t="shared" si="2"/>
        <v>2163.2800000000002</v>
      </c>
      <c r="L358" s="10" t="s">
        <v>481</v>
      </c>
      <c r="M358" s="10" t="str">
        <f t="shared" si="3"/>
        <v>BANK TRANSFER</v>
      </c>
      <c r="N358" s="10" t="s">
        <v>18</v>
      </c>
      <c r="O358" s="10" t="str">
        <f t="shared" si="4"/>
        <v>Bank Transfer</v>
      </c>
      <c r="P358" s="9" t="s">
        <v>523</v>
      </c>
      <c r="Q358" s="9" t="str">
        <f t="shared" si="5"/>
        <v>No Comments</v>
      </c>
    </row>
    <row r="359" spans="1:17" ht="14.25" customHeight="1">
      <c r="A359" s="8">
        <v>45571</v>
      </c>
      <c r="B359" s="10" t="str">
        <f t="shared" si="0"/>
        <v>East</v>
      </c>
      <c r="C359" s="10" t="s">
        <v>35</v>
      </c>
      <c r="D359" s="10" t="s">
        <v>13</v>
      </c>
      <c r="E359" s="10" t="str">
        <f t="shared" si="1"/>
        <v>Faith</v>
      </c>
      <c r="F359" s="10" t="s">
        <v>36</v>
      </c>
      <c r="G359" s="9" t="s">
        <v>43</v>
      </c>
      <c r="H359" s="10" t="s">
        <v>127</v>
      </c>
      <c r="I359" s="10">
        <v>1</v>
      </c>
      <c r="J359" s="10">
        <v>376.82</v>
      </c>
      <c r="K359" s="10">
        <f t="shared" si="2"/>
        <v>376.82</v>
      </c>
      <c r="L359" s="10" t="s">
        <v>215</v>
      </c>
      <c r="M359" s="10" t="str">
        <f t="shared" si="3"/>
        <v>CASH</v>
      </c>
      <c r="N359" s="10" t="s">
        <v>65</v>
      </c>
      <c r="O359" s="10" t="str">
        <f t="shared" si="4"/>
        <v>Cash</v>
      </c>
      <c r="P359" s="10" t="s">
        <v>52</v>
      </c>
      <c r="Q359" s="10" t="str">
        <f t="shared" si="5"/>
        <v>Follow Up</v>
      </c>
    </row>
    <row r="360" spans="1:17" ht="14.25" customHeight="1">
      <c r="A360" s="8">
        <v>45524</v>
      </c>
      <c r="B360" s="10" t="str">
        <f t="shared" si="0"/>
        <v>West</v>
      </c>
      <c r="C360" s="10" t="s">
        <v>54</v>
      </c>
      <c r="D360" s="10" t="s">
        <v>13</v>
      </c>
      <c r="E360" s="10" t="str">
        <f t="shared" si="1"/>
        <v>Faith</v>
      </c>
      <c r="F360" s="10" t="s">
        <v>14</v>
      </c>
      <c r="G360" s="10" t="s">
        <v>24</v>
      </c>
      <c r="H360" s="10" t="s">
        <v>63</v>
      </c>
      <c r="I360" s="10">
        <v>12</v>
      </c>
      <c r="J360" s="10">
        <v>175.98</v>
      </c>
      <c r="K360" s="10">
        <f t="shared" si="2"/>
        <v>2111.7599999999998</v>
      </c>
      <c r="L360" s="10" t="s">
        <v>270</v>
      </c>
      <c r="M360" s="10" t="str">
        <f t="shared" si="3"/>
        <v xml:space="preserve">MOBILE MONEY </v>
      </c>
      <c r="N360" s="10" t="s">
        <v>57</v>
      </c>
      <c r="O360" s="10" t="str">
        <f t="shared" si="4"/>
        <v xml:space="preserve">Mobile Money </v>
      </c>
      <c r="P360" s="10" t="s">
        <v>19</v>
      </c>
      <c r="Q360" s="10" t="str">
        <f t="shared" si="5"/>
        <v>Double Entry</v>
      </c>
    </row>
    <row r="361" spans="1:17" ht="14.25" customHeight="1">
      <c r="A361" s="8">
        <v>45510</v>
      </c>
      <c r="B361" s="10" t="str">
        <f t="shared" si="0"/>
        <v>West</v>
      </c>
      <c r="C361" s="10" t="s">
        <v>54</v>
      </c>
      <c r="D361" s="10" t="s">
        <v>62</v>
      </c>
      <c r="E361" s="10" t="str">
        <f t="shared" si="1"/>
        <v>Hannah</v>
      </c>
      <c r="F361" s="10" t="s">
        <v>14</v>
      </c>
      <c r="G361" s="9" t="s">
        <v>43</v>
      </c>
      <c r="H361" s="10" t="s">
        <v>30</v>
      </c>
      <c r="I361" s="10">
        <v>1</v>
      </c>
      <c r="J361" s="10">
        <v>284.72000000000003</v>
      </c>
      <c r="K361" s="10">
        <f t="shared" si="2"/>
        <v>284.72000000000003</v>
      </c>
      <c r="L361" s="10" t="s">
        <v>331</v>
      </c>
      <c r="M361" s="10" t="str">
        <f t="shared" si="3"/>
        <v>CREDIT CARD</v>
      </c>
      <c r="N361" s="10" t="s">
        <v>75</v>
      </c>
      <c r="O361" s="10" t="str">
        <f t="shared" si="4"/>
        <v>Credit Card</v>
      </c>
      <c r="P361" s="10" t="s">
        <v>33</v>
      </c>
      <c r="Q361" s="10" t="str">
        <f t="shared" si="5"/>
        <v>Priority</v>
      </c>
    </row>
    <row r="362" spans="1:17" ht="14.25" customHeight="1">
      <c r="A362" s="8">
        <v>45321</v>
      </c>
      <c r="B362" s="9" t="str">
        <f t="shared" si="0"/>
        <v>Unknow</v>
      </c>
      <c r="C362" s="9" t="s">
        <v>522</v>
      </c>
      <c r="D362" s="10" t="s">
        <v>59</v>
      </c>
      <c r="E362" s="10" t="str">
        <f t="shared" si="1"/>
        <v>Charlie</v>
      </c>
      <c r="F362" s="10" t="s">
        <v>47</v>
      </c>
      <c r="G362" s="10" t="s">
        <v>70</v>
      </c>
      <c r="H362" s="10" t="s">
        <v>213</v>
      </c>
      <c r="I362" s="10">
        <v>2</v>
      </c>
      <c r="J362" s="10">
        <v>422.92</v>
      </c>
      <c r="K362" s="10">
        <f t="shared" si="2"/>
        <v>845.84</v>
      </c>
      <c r="L362" s="10" t="s">
        <v>205</v>
      </c>
      <c r="M362" s="10" t="str">
        <f t="shared" si="3"/>
        <v>CREDIT CARD</v>
      </c>
      <c r="N362" s="10" t="s">
        <v>75</v>
      </c>
      <c r="O362" s="10" t="str">
        <f t="shared" si="4"/>
        <v>Credit Card</v>
      </c>
      <c r="P362" s="10" t="s">
        <v>33</v>
      </c>
      <c r="Q362" s="10" t="str">
        <f t="shared" si="5"/>
        <v>Priority</v>
      </c>
    </row>
    <row r="363" spans="1:17" ht="14.25" customHeight="1">
      <c r="A363" s="8">
        <v>45457</v>
      </c>
      <c r="B363" s="10" t="str">
        <f t="shared" si="0"/>
        <v>East</v>
      </c>
      <c r="C363" s="10" t="s">
        <v>146</v>
      </c>
      <c r="D363" s="10" t="s">
        <v>87</v>
      </c>
      <c r="E363" s="10" t="str">
        <f t="shared" si="1"/>
        <v>Ethan</v>
      </c>
      <c r="F363" s="10" t="s">
        <v>36</v>
      </c>
      <c r="G363" s="9" t="s">
        <v>521</v>
      </c>
      <c r="H363" s="10" t="s">
        <v>106</v>
      </c>
      <c r="I363" s="10">
        <v>10</v>
      </c>
      <c r="J363" s="10">
        <v>142.83000000000001</v>
      </c>
      <c r="K363" s="10">
        <f t="shared" si="2"/>
        <v>1428.3000000000002</v>
      </c>
      <c r="L363" s="10" t="s">
        <v>167</v>
      </c>
      <c r="M363" s="10" t="str">
        <f t="shared" si="3"/>
        <v>CREDIT CARD</v>
      </c>
      <c r="N363" s="10" t="s">
        <v>75</v>
      </c>
      <c r="O363" s="10" t="str">
        <f t="shared" si="4"/>
        <v>Credit Card</v>
      </c>
      <c r="P363" s="9" t="s">
        <v>523</v>
      </c>
      <c r="Q363" s="9" t="str">
        <f t="shared" si="5"/>
        <v>No Comments</v>
      </c>
    </row>
    <row r="364" spans="1:17" ht="14.25" customHeight="1">
      <c r="A364" s="8">
        <v>45462</v>
      </c>
      <c r="B364" s="10" t="str">
        <f t="shared" si="0"/>
        <v>South</v>
      </c>
      <c r="C364" s="10" t="s">
        <v>21</v>
      </c>
      <c r="D364" s="10" t="s">
        <v>59</v>
      </c>
      <c r="E364" s="10" t="str">
        <f t="shared" si="1"/>
        <v>Charlie</v>
      </c>
      <c r="F364" s="10" t="s">
        <v>23</v>
      </c>
      <c r="G364" s="10" t="s">
        <v>70</v>
      </c>
      <c r="H364" s="10" t="s">
        <v>101</v>
      </c>
      <c r="I364" s="10">
        <v>5</v>
      </c>
      <c r="J364" s="10">
        <v>46.5</v>
      </c>
      <c r="K364" s="10">
        <f t="shared" si="2"/>
        <v>232.5</v>
      </c>
      <c r="L364" s="10" t="s">
        <v>366</v>
      </c>
      <c r="M364" s="10" t="str">
        <f t="shared" si="3"/>
        <v>CREDIT CARD</v>
      </c>
      <c r="N364" s="10" t="s">
        <v>75</v>
      </c>
      <c r="O364" s="10" t="str">
        <f t="shared" si="4"/>
        <v>Credit Card</v>
      </c>
      <c r="P364" s="9" t="s">
        <v>523</v>
      </c>
      <c r="Q364" s="9" t="str">
        <f t="shared" si="5"/>
        <v>No Comments</v>
      </c>
    </row>
    <row r="365" spans="1:17" ht="14.25" customHeight="1">
      <c r="A365" s="8">
        <v>45376</v>
      </c>
      <c r="B365" s="9" t="str">
        <f t="shared" si="0"/>
        <v>North</v>
      </c>
      <c r="C365" s="9" t="s">
        <v>12</v>
      </c>
      <c r="D365" s="10" t="s">
        <v>22</v>
      </c>
      <c r="E365" s="10" t="str">
        <f t="shared" si="1"/>
        <v>Bob</v>
      </c>
      <c r="F365" s="10" t="s">
        <v>50</v>
      </c>
      <c r="G365" s="9" t="s">
        <v>521</v>
      </c>
      <c r="H365" s="10" t="s">
        <v>213</v>
      </c>
      <c r="I365" s="10">
        <v>6</v>
      </c>
      <c r="J365" s="10">
        <v>129.68</v>
      </c>
      <c r="K365" s="10">
        <f t="shared" si="2"/>
        <v>778.08</v>
      </c>
      <c r="L365" s="10" t="s">
        <v>484</v>
      </c>
      <c r="M365" s="9" t="str">
        <f t="shared" si="3"/>
        <v>UNKONWN</v>
      </c>
      <c r="N365" s="9" t="s">
        <v>521</v>
      </c>
      <c r="O365" s="9" t="str">
        <f t="shared" si="4"/>
        <v>Unkonwn</v>
      </c>
      <c r="P365" s="10" t="s">
        <v>52</v>
      </c>
      <c r="Q365" s="10" t="str">
        <f t="shared" si="5"/>
        <v>Follow Up</v>
      </c>
    </row>
    <row r="366" spans="1:17" ht="14.25" customHeight="1">
      <c r="A366" s="8">
        <v>45329</v>
      </c>
      <c r="B366" s="9" t="str">
        <f t="shared" si="0"/>
        <v>North</v>
      </c>
      <c r="C366" s="9" t="s">
        <v>12</v>
      </c>
      <c r="D366" s="10" t="s">
        <v>59</v>
      </c>
      <c r="E366" s="10" t="str">
        <f t="shared" si="1"/>
        <v>Charlie</v>
      </c>
      <c r="F366" s="10" t="s">
        <v>23</v>
      </c>
      <c r="G366" s="9" t="s">
        <v>37</v>
      </c>
      <c r="H366" s="10" t="s">
        <v>88</v>
      </c>
      <c r="I366" s="10">
        <v>15</v>
      </c>
      <c r="J366" s="10">
        <v>329.23</v>
      </c>
      <c r="K366" s="10">
        <f t="shared" si="2"/>
        <v>4938.4500000000007</v>
      </c>
      <c r="L366" s="10" t="s">
        <v>486</v>
      </c>
      <c r="M366" s="10" t="str">
        <f t="shared" si="3"/>
        <v>CREDIT CARD</v>
      </c>
      <c r="N366" s="10" t="s">
        <v>75</v>
      </c>
      <c r="O366" s="10" t="str">
        <f t="shared" si="4"/>
        <v>Credit Card</v>
      </c>
      <c r="P366" s="9" t="s">
        <v>523</v>
      </c>
      <c r="Q366" s="9" t="str">
        <f t="shared" si="5"/>
        <v>No Comments</v>
      </c>
    </row>
    <row r="367" spans="1:17" ht="14.25" customHeight="1">
      <c r="A367" s="8">
        <v>45327</v>
      </c>
      <c r="B367" s="10" t="str">
        <f t="shared" si="0"/>
        <v>West</v>
      </c>
      <c r="C367" s="10" t="s">
        <v>54</v>
      </c>
      <c r="D367" s="10" t="s">
        <v>13</v>
      </c>
      <c r="E367" s="10" t="str">
        <f t="shared" si="1"/>
        <v>Faith</v>
      </c>
      <c r="F367" s="10" t="s">
        <v>23</v>
      </c>
      <c r="G367" s="9" t="s">
        <v>37</v>
      </c>
      <c r="H367" s="10" t="s">
        <v>63</v>
      </c>
      <c r="I367" s="10">
        <v>3</v>
      </c>
      <c r="J367" s="10">
        <v>127.96</v>
      </c>
      <c r="K367" s="10">
        <f t="shared" si="2"/>
        <v>383.88</v>
      </c>
      <c r="L367" s="10" t="s">
        <v>147</v>
      </c>
      <c r="M367" s="9" t="str">
        <f t="shared" si="3"/>
        <v>UNKONWN</v>
      </c>
      <c r="N367" s="9" t="s">
        <v>521</v>
      </c>
      <c r="O367" s="9" t="str">
        <f t="shared" si="4"/>
        <v>Unkonwn</v>
      </c>
      <c r="P367" s="9" t="s">
        <v>523</v>
      </c>
      <c r="Q367" s="9" t="str">
        <f t="shared" si="5"/>
        <v>No Comments</v>
      </c>
    </row>
    <row r="368" spans="1:17" ht="14.25" customHeight="1">
      <c r="A368" s="8">
        <v>45396</v>
      </c>
      <c r="B368" s="9" t="str">
        <f t="shared" si="0"/>
        <v>North</v>
      </c>
      <c r="C368" s="9" t="s">
        <v>12</v>
      </c>
      <c r="D368" s="10" t="s">
        <v>13</v>
      </c>
      <c r="E368" s="10" t="str">
        <f t="shared" si="1"/>
        <v>Faith</v>
      </c>
      <c r="F368" s="10" t="s">
        <v>14</v>
      </c>
      <c r="G368" s="10" t="s">
        <v>70</v>
      </c>
      <c r="H368" s="10" t="s">
        <v>169</v>
      </c>
      <c r="I368" s="10">
        <v>17</v>
      </c>
      <c r="J368" s="10">
        <v>376.82</v>
      </c>
      <c r="K368" s="10">
        <f t="shared" si="2"/>
        <v>6405.94</v>
      </c>
      <c r="L368" s="10" t="s">
        <v>130</v>
      </c>
      <c r="M368" s="10" t="str">
        <f t="shared" si="3"/>
        <v>CASH</v>
      </c>
      <c r="N368" s="10" t="s">
        <v>65</v>
      </c>
      <c r="O368" s="10" t="str">
        <f t="shared" si="4"/>
        <v>Cash</v>
      </c>
      <c r="P368" s="10" t="s">
        <v>83</v>
      </c>
      <c r="Q368" s="10" t="str">
        <f t="shared" si="5"/>
        <v>Check Stock</v>
      </c>
    </row>
    <row r="369" spans="1:17" ht="14.25" customHeight="1">
      <c r="A369" s="8">
        <v>45293</v>
      </c>
      <c r="B369" s="10" t="str">
        <f t="shared" si="0"/>
        <v>West</v>
      </c>
      <c r="C369" s="10" t="s">
        <v>54</v>
      </c>
      <c r="D369" s="10" t="s">
        <v>77</v>
      </c>
      <c r="E369" s="10" t="str">
        <f t="shared" si="1"/>
        <v>Diana</v>
      </c>
      <c r="F369" s="10" t="s">
        <v>23</v>
      </c>
      <c r="G369" s="10" t="s">
        <v>24</v>
      </c>
      <c r="H369" s="10" t="s">
        <v>16</v>
      </c>
      <c r="I369" s="10">
        <v>10</v>
      </c>
      <c r="J369" s="10">
        <v>326.39</v>
      </c>
      <c r="K369" s="10">
        <f t="shared" si="2"/>
        <v>3263.8999999999996</v>
      </c>
      <c r="L369" s="10" t="s">
        <v>277</v>
      </c>
      <c r="M369" s="10" t="str">
        <f t="shared" si="3"/>
        <v>CASH</v>
      </c>
      <c r="N369" s="10" t="s">
        <v>65</v>
      </c>
      <c r="O369" s="10" t="str">
        <f t="shared" si="4"/>
        <v>Cash</v>
      </c>
      <c r="P369" s="9" t="s">
        <v>523</v>
      </c>
      <c r="Q369" s="9" t="str">
        <f t="shared" si="5"/>
        <v>No Comments</v>
      </c>
    </row>
    <row r="370" spans="1:17" ht="14.25" customHeight="1">
      <c r="A370" s="8">
        <v>45472</v>
      </c>
      <c r="B370" s="9" t="str">
        <f t="shared" si="0"/>
        <v>North</v>
      </c>
      <c r="C370" s="9" t="s">
        <v>12</v>
      </c>
      <c r="D370" s="10" t="s">
        <v>77</v>
      </c>
      <c r="E370" s="10" t="str">
        <f t="shared" si="1"/>
        <v>Diana</v>
      </c>
      <c r="F370" s="10" t="s">
        <v>29</v>
      </c>
      <c r="G370" s="10" t="s">
        <v>24</v>
      </c>
      <c r="H370" s="10" t="s">
        <v>30</v>
      </c>
      <c r="I370" s="10">
        <v>18</v>
      </c>
      <c r="J370" s="10">
        <v>191.94</v>
      </c>
      <c r="K370" s="10">
        <f t="shared" si="2"/>
        <v>3454.92</v>
      </c>
      <c r="L370" s="10" t="s">
        <v>74</v>
      </c>
      <c r="M370" s="10" t="str">
        <f t="shared" si="3"/>
        <v>CASH</v>
      </c>
      <c r="N370" s="10" t="s">
        <v>93</v>
      </c>
      <c r="O370" s="10" t="str">
        <f t="shared" si="4"/>
        <v>Cash</v>
      </c>
      <c r="P370" s="10" t="s">
        <v>33</v>
      </c>
      <c r="Q370" s="10" t="str">
        <f t="shared" si="5"/>
        <v>Priority</v>
      </c>
    </row>
    <row r="371" spans="1:17" ht="14.25" customHeight="1">
      <c r="A371" s="8">
        <v>45566</v>
      </c>
      <c r="B371" s="9" t="str">
        <f t="shared" si="0"/>
        <v>North</v>
      </c>
      <c r="C371" s="9" t="s">
        <v>12</v>
      </c>
      <c r="D371" s="10" t="s">
        <v>22</v>
      </c>
      <c r="E371" s="10" t="str">
        <f t="shared" si="1"/>
        <v>Bob</v>
      </c>
      <c r="F371" s="10" t="s">
        <v>29</v>
      </c>
      <c r="G371" s="9" t="s">
        <v>43</v>
      </c>
      <c r="H371" s="10" t="s">
        <v>71</v>
      </c>
      <c r="I371" s="10">
        <v>5</v>
      </c>
      <c r="J371" s="10">
        <v>408.71</v>
      </c>
      <c r="K371" s="10">
        <f t="shared" si="2"/>
        <v>2043.55</v>
      </c>
      <c r="L371" s="10" t="s">
        <v>283</v>
      </c>
      <c r="M371" s="10" t="str">
        <f t="shared" si="3"/>
        <v>CASH</v>
      </c>
      <c r="N371" s="10" t="s">
        <v>93</v>
      </c>
      <c r="O371" s="10" t="str">
        <f t="shared" si="4"/>
        <v>Cash</v>
      </c>
      <c r="P371" s="9" t="s">
        <v>523</v>
      </c>
      <c r="Q371" s="9" t="str">
        <f t="shared" si="5"/>
        <v>No Comments</v>
      </c>
    </row>
    <row r="372" spans="1:17" ht="14.25" customHeight="1">
      <c r="A372" s="8">
        <v>45468</v>
      </c>
      <c r="B372" s="9" t="str">
        <f t="shared" si="0"/>
        <v>Unknow</v>
      </c>
      <c r="C372" s="9" t="s">
        <v>522</v>
      </c>
      <c r="D372" s="10" t="s">
        <v>77</v>
      </c>
      <c r="E372" s="10" t="str">
        <f t="shared" si="1"/>
        <v>Diana</v>
      </c>
      <c r="F372" s="10" t="s">
        <v>50</v>
      </c>
      <c r="G372" s="9" t="s">
        <v>43</v>
      </c>
      <c r="H372" s="10" t="s">
        <v>30</v>
      </c>
      <c r="I372" s="10">
        <v>4</v>
      </c>
      <c r="J372" s="10">
        <v>127.19</v>
      </c>
      <c r="K372" s="10">
        <f t="shared" si="2"/>
        <v>508.76</v>
      </c>
      <c r="L372" s="10" t="s">
        <v>491</v>
      </c>
      <c r="M372" s="10" t="str">
        <f t="shared" si="3"/>
        <v>MOBILE MONEY</v>
      </c>
      <c r="N372" s="10" t="s">
        <v>32</v>
      </c>
      <c r="O372" s="10" t="str">
        <f t="shared" si="4"/>
        <v>Mobile Money</v>
      </c>
      <c r="P372" s="10" t="s">
        <v>19</v>
      </c>
      <c r="Q372" s="10" t="str">
        <f t="shared" si="5"/>
        <v>Double Entry</v>
      </c>
    </row>
    <row r="373" spans="1:17" ht="14.25" customHeight="1">
      <c r="A373" s="8">
        <v>45301</v>
      </c>
      <c r="B373" s="9" t="str">
        <f t="shared" si="0"/>
        <v>North</v>
      </c>
      <c r="C373" s="9" t="s">
        <v>12</v>
      </c>
      <c r="D373" s="10" t="s">
        <v>28</v>
      </c>
      <c r="E373" s="10" t="str">
        <f t="shared" si="1"/>
        <v>George</v>
      </c>
      <c r="F373" s="10" t="s">
        <v>47</v>
      </c>
      <c r="G373" s="9" t="s">
        <v>521</v>
      </c>
      <c r="H373" s="10" t="s">
        <v>25</v>
      </c>
      <c r="I373" s="10">
        <v>6</v>
      </c>
      <c r="J373" s="10">
        <v>480.48</v>
      </c>
      <c r="K373" s="10">
        <f t="shared" si="2"/>
        <v>2882.88</v>
      </c>
      <c r="L373" s="10" t="s">
        <v>60</v>
      </c>
      <c r="M373" s="10" t="str">
        <f t="shared" si="3"/>
        <v>CASH</v>
      </c>
      <c r="N373" s="10" t="s">
        <v>93</v>
      </c>
      <c r="O373" s="10" t="str">
        <f t="shared" si="4"/>
        <v>Cash</v>
      </c>
      <c r="P373" s="9" t="s">
        <v>523</v>
      </c>
      <c r="Q373" s="9" t="str">
        <f t="shared" si="5"/>
        <v>No Comments</v>
      </c>
    </row>
    <row r="374" spans="1:17" ht="14.25" customHeight="1">
      <c r="A374" s="8">
        <v>45382</v>
      </c>
      <c r="B374" s="9" t="str">
        <f t="shared" si="0"/>
        <v>North</v>
      </c>
      <c r="C374" s="9" t="s">
        <v>12</v>
      </c>
      <c r="D374" s="10" t="s">
        <v>42</v>
      </c>
      <c r="E374" s="10" t="str">
        <f t="shared" si="1"/>
        <v>Alice</v>
      </c>
      <c r="F374" s="10" t="s">
        <v>50</v>
      </c>
      <c r="G374" s="9" t="s">
        <v>43</v>
      </c>
      <c r="H374" s="10" t="s">
        <v>25</v>
      </c>
      <c r="I374" s="10">
        <v>20</v>
      </c>
      <c r="J374" s="10">
        <v>16.64</v>
      </c>
      <c r="K374" s="10">
        <f t="shared" si="2"/>
        <v>332.8</v>
      </c>
      <c r="L374" s="10" t="s">
        <v>202</v>
      </c>
      <c r="M374" s="10" t="str">
        <f t="shared" si="3"/>
        <v>CREDIT CARD</v>
      </c>
      <c r="N374" s="10" t="s">
        <v>75</v>
      </c>
      <c r="O374" s="10" t="str">
        <f t="shared" si="4"/>
        <v>Credit Card</v>
      </c>
      <c r="P374" s="9" t="s">
        <v>523</v>
      </c>
      <c r="Q374" s="9" t="str">
        <f t="shared" si="5"/>
        <v>No Comments</v>
      </c>
    </row>
    <row r="375" spans="1:17" ht="14.25" customHeight="1">
      <c r="A375" s="8">
        <v>45434</v>
      </c>
      <c r="B375" s="10" t="str">
        <f t="shared" si="0"/>
        <v>East</v>
      </c>
      <c r="C375" s="10" t="s">
        <v>35</v>
      </c>
      <c r="D375" s="10" t="s">
        <v>59</v>
      </c>
      <c r="E375" s="10" t="str">
        <f t="shared" si="1"/>
        <v>Charlie</v>
      </c>
      <c r="F375" s="10" t="s">
        <v>29</v>
      </c>
      <c r="G375" s="9" t="s">
        <v>15</v>
      </c>
      <c r="H375" s="10" t="s">
        <v>127</v>
      </c>
      <c r="I375" s="10">
        <v>20</v>
      </c>
      <c r="J375" s="10">
        <v>380.07</v>
      </c>
      <c r="K375" s="10">
        <f t="shared" si="2"/>
        <v>7601.4</v>
      </c>
      <c r="L375" s="10" t="s">
        <v>181</v>
      </c>
      <c r="M375" s="10" t="str">
        <f t="shared" si="3"/>
        <v>BANK TRANSFER</v>
      </c>
      <c r="N375" s="10" t="s">
        <v>18</v>
      </c>
      <c r="O375" s="10" t="str">
        <f t="shared" si="4"/>
        <v>Bank Transfer</v>
      </c>
      <c r="P375" s="9" t="s">
        <v>523</v>
      </c>
      <c r="Q375" s="9" t="str">
        <f t="shared" si="5"/>
        <v>No Comments</v>
      </c>
    </row>
    <row r="376" spans="1:17" ht="14.25" customHeight="1">
      <c r="A376" s="8">
        <v>45447</v>
      </c>
      <c r="B376" s="10" t="str">
        <f t="shared" si="0"/>
        <v>East</v>
      </c>
      <c r="C376" s="10" t="s">
        <v>35</v>
      </c>
      <c r="D376" s="10" t="s">
        <v>59</v>
      </c>
      <c r="E376" s="10" t="str">
        <f t="shared" si="1"/>
        <v>Charlie</v>
      </c>
      <c r="F376" s="10" t="s">
        <v>47</v>
      </c>
      <c r="G376" s="10" t="s">
        <v>70</v>
      </c>
      <c r="H376" s="10" t="s">
        <v>78</v>
      </c>
      <c r="I376" s="10">
        <v>18</v>
      </c>
      <c r="J376" s="10">
        <v>491.17</v>
      </c>
      <c r="K376" s="10">
        <f t="shared" si="2"/>
        <v>8841.06</v>
      </c>
      <c r="L376" s="10" t="s">
        <v>74</v>
      </c>
      <c r="M376" s="10" t="str">
        <f t="shared" si="3"/>
        <v>MOBILE MONEY</v>
      </c>
      <c r="N376" s="10" t="s">
        <v>32</v>
      </c>
      <c r="O376" s="10" t="str">
        <f t="shared" si="4"/>
        <v>Mobile Money</v>
      </c>
      <c r="P376" s="9" t="s">
        <v>523</v>
      </c>
      <c r="Q376" s="9" t="str">
        <f t="shared" si="5"/>
        <v>No Comments</v>
      </c>
    </row>
    <row r="377" spans="1:17" ht="14.25" customHeight="1">
      <c r="A377" s="8">
        <v>45414</v>
      </c>
      <c r="B377" s="9" t="str">
        <f t="shared" si="0"/>
        <v>Unknow</v>
      </c>
      <c r="C377" s="9" t="s">
        <v>522</v>
      </c>
      <c r="D377" s="10" t="s">
        <v>62</v>
      </c>
      <c r="E377" s="10" t="str">
        <f t="shared" si="1"/>
        <v>Hannah</v>
      </c>
      <c r="F377" s="10" t="s">
        <v>47</v>
      </c>
      <c r="G377" s="10" t="s">
        <v>24</v>
      </c>
      <c r="H377" s="10" t="s">
        <v>127</v>
      </c>
      <c r="I377" s="10">
        <v>20</v>
      </c>
      <c r="J377" s="10">
        <v>412.66</v>
      </c>
      <c r="K377" s="10">
        <f t="shared" si="2"/>
        <v>8253.2000000000007</v>
      </c>
      <c r="L377" s="10" t="s">
        <v>405</v>
      </c>
      <c r="M377" s="10" t="str">
        <f t="shared" si="3"/>
        <v>MOBILE MONEY</v>
      </c>
      <c r="N377" s="10" t="s">
        <v>32</v>
      </c>
      <c r="O377" s="10" t="str">
        <f t="shared" si="4"/>
        <v>Mobile Money</v>
      </c>
      <c r="P377" s="10" t="s">
        <v>40</v>
      </c>
      <c r="Q377" s="10" t="str">
        <f t="shared" si="5"/>
        <v>Urgent</v>
      </c>
    </row>
    <row r="378" spans="1:17" ht="14.25" customHeight="1">
      <c r="A378" s="8">
        <v>45467</v>
      </c>
      <c r="B378" s="10" t="str">
        <f t="shared" si="0"/>
        <v>East</v>
      </c>
      <c r="C378" s="10" t="s">
        <v>35</v>
      </c>
      <c r="D378" s="10" t="s">
        <v>62</v>
      </c>
      <c r="E378" s="10" t="str">
        <f t="shared" si="1"/>
        <v>Hannah</v>
      </c>
      <c r="F378" s="10" t="s">
        <v>36</v>
      </c>
      <c r="G378" s="9" t="s">
        <v>37</v>
      </c>
      <c r="H378" s="10" t="s">
        <v>67</v>
      </c>
      <c r="I378" s="10">
        <v>6</v>
      </c>
      <c r="J378" s="10">
        <v>479.95</v>
      </c>
      <c r="K378" s="10">
        <f t="shared" si="2"/>
        <v>2879.7</v>
      </c>
      <c r="L378" s="10" t="s">
        <v>220</v>
      </c>
      <c r="M378" s="10" t="str">
        <f t="shared" si="3"/>
        <v>CASH</v>
      </c>
      <c r="N378" s="10" t="s">
        <v>93</v>
      </c>
      <c r="O378" s="10" t="str">
        <f t="shared" si="4"/>
        <v>Cash</v>
      </c>
      <c r="P378" s="9" t="s">
        <v>523</v>
      </c>
      <c r="Q378" s="9" t="str">
        <f t="shared" si="5"/>
        <v>No Comments</v>
      </c>
    </row>
    <row r="379" spans="1:17" ht="14.25" customHeight="1">
      <c r="A379" s="8">
        <v>45364</v>
      </c>
      <c r="B379" s="10" t="str">
        <f t="shared" si="0"/>
        <v>South</v>
      </c>
      <c r="C379" s="10" t="s">
        <v>21</v>
      </c>
      <c r="D379" s="10" t="s">
        <v>59</v>
      </c>
      <c r="E379" s="10" t="str">
        <f t="shared" si="1"/>
        <v>Charlie</v>
      </c>
      <c r="F379" s="10" t="s">
        <v>36</v>
      </c>
      <c r="G379" s="9" t="s">
        <v>43</v>
      </c>
      <c r="H379" s="10" t="s">
        <v>71</v>
      </c>
      <c r="I379" s="10">
        <v>14</v>
      </c>
      <c r="J379" s="10">
        <v>499.7</v>
      </c>
      <c r="K379" s="10">
        <f t="shared" si="2"/>
        <v>6995.8</v>
      </c>
      <c r="L379" s="10" t="s">
        <v>189</v>
      </c>
      <c r="M379" s="9" t="str">
        <f t="shared" si="3"/>
        <v>UNKONWN</v>
      </c>
      <c r="N379" s="9" t="s">
        <v>521</v>
      </c>
      <c r="O379" s="9" t="str">
        <f t="shared" si="4"/>
        <v>Unkonwn</v>
      </c>
      <c r="P379" s="10" t="s">
        <v>19</v>
      </c>
      <c r="Q379" s="10" t="str">
        <f t="shared" si="5"/>
        <v>Double Entry</v>
      </c>
    </row>
    <row r="380" spans="1:17" ht="14.25" customHeight="1">
      <c r="A380" s="8">
        <v>45384</v>
      </c>
      <c r="B380" s="10" t="str">
        <f t="shared" si="0"/>
        <v>East</v>
      </c>
      <c r="C380" s="10" t="s">
        <v>35</v>
      </c>
      <c r="D380" s="10" t="s">
        <v>59</v>
      </c>
      <c r="E380" s="10" t="str">
        <f t="shared" si="1"/>
        <v>Charlie</v>
      </c>
      <c r="F380" s="10" t="s">
        <v>14</v>
      </c>
      <c r="G380" s="9" t="s">
        <v>43</v>
      </c>
      <c r="H380" s="10" t="s">
        <v>63</v>
      </c>
      <c r="I380" s="10">
        <v>14</v>
      </c>
      <c r="J380" s="10">
        <v>62.61</v>
      </c>
      <c r="K380" s="10">
        <f t="shared" si="2"/>
        <v>876.54</v>
      </c>
      <c r="L380" s="10" t="s">
        <v>280</v>
      </c>
      <c r="M380" s="9" t="str">
        <f t="shared" si="3"/>
        <v>UNKONWN</v>
      </c>
      <c r="N380" s="9" t="s">
        <v>521</v>
      </c>
      <c r="O380" s="9" t="str">
        <f t="shared" si="4"/>
        <v>Unkonwn</v>
      </c>
      <c r="P380" s="9" t="s">
        <v>523</v>
      </c>
      <c r="Q380" s="9" t="str">
        <f t="shared" si="5"/>
        <v>No Comments</v>
      </c>
    </row>
    <row r="381" spans="1:17" ht="14.25" customHeight="1">
      <c r="A381" s="8">
        <v>45393</v>
      </c>
      <c r="B381" s="10" t="str">
        <f t="shared" si="0"/>
        <v>West</v>
      </c>
      <c r="C381" s="10" t="s">
        <v>54</v>
      </c>
      <c r="D381" s="10" t="s">
        <v>62</v>
      </c>
      <c r="E381" s="10" t="str">
        <f t="shared" si="1"/>
        <v>Hannah</v>
      </c>
      <c r="F381" s="10" t="s">
        <v>50</v>
      </c>
      <c r="G381" s="10" t="s">
        <v>70</v>
      </c>
      <c r="H381" s="10" t="s">
        <v>183</v>
      </c>
      <c r="I381" s="10">
        <v>1</v>
      </c>
      <c r="J381" s="10">
        <v>293.75</v>
      </c>
      <c r="K381" s="10">
        <f t="shared" si="2"/>
        <v>293.75</v>
      </c>
      <c r="L381" s="10" t="s">
        <v>245</v>
      </c>
      <c r="M381" s="10" t="str">
        <f t="shared" si="3"/>
        <v>BANK TRANSFER</v>
      </c>
      <c r="N381" s="10" t="s">
        <v>18</v>
      </c>
      <c r="O381" s="10" t="str">
        <f t="shared" si="4"/>
        <v>Bank Transfer</v>
      </c>
      <c r="P381" s="10" t="s">
        <v>52</v>
      </c>
      <c r="Q381" s="10" t="str">
        <f t="shared" si="5"/>
        <v>Follow Up</v>
      </c>
    </row>
    <row r="382" spans="1:17" ht="14.25" customHeight="1">
      <c r="A382" s="8">
        <v>45305</v>
      </c>
      <c r="B382" s="10" t="str">
        <f t="shared" si="0"/>
        <v>SOUTH</v>
      </c>
      <c r="C382" s="10" t="s">
        <v>46</v>
      </c>
      <c r="D382" s="10" t="s">
        <v>59</v>
      </c>
      <c r="E382" s="10" t="str">
        <f t="shared" si="1"/>
        <v>Charlie</v>
      </c>
      <c r="F382" s="10" t="s">
        <v>36</v>
      </c>
      <c r="G382" s="9" t="s">
        <v>37</v>
      </c>
      <c r="H382" s="10" t="s">
        <v>88</v>
      </c>
      <c r="I382" s="10">
        <v>19</v>
      </c>
      <c r="J382" s="10">
        <v>401.44</v>
      </c>
      <c r="K382" s="10">
        <f t="shared" si="2"/>
        <v>7627.36</v>
      </c>
      <c r="L382" s="10" t="s">
        <v>430</v>
      </c>
      <c r="M382" s="10" t="str">
        <f t="shared" si="3"/>
        <v xml:space="preserve">MOBILE MONEY </v>
      </c>
      <c r="N382" s="10" t="s">
        <v>57</v>
      </c>
      <c r="O382" s="10" t="str">
        <f t="shared" si="4"/>
        <v xml:space="preserve">Mobile Money </v>
      </c>
      <c r="P382" s="10" t="s">
        <v>83</v>
      </c>
      <c r="Q382" s="10" t="str">
        <f t="shared" si="5"/>
        <v>Check Stock</v>
      </c>
    </row>
    <row r="383" spans="1:17" ht="14.25" customHeight="1">
      <c r="A383" s="8">
        <v>45472</v>
      </c>
      <c r="B383" s="10" t="str">
        <f t="shared" si="0"/>
        <v>East</v>
      </c>
      <c r="C383" s="10" t="s">
        <v>146</v>
      </c>
      <c r="D383" s="10" t="s">
        <v>22</v>
      </c>
      <c r="E383" s="10" t="str">
        <f t="shared" si="1"/>
        <v>Bob</v>
      </c>
      <c r="F383" s="10" t="s">
        <v>50</v>
      </c>
      <c r="G383" s="9" t="s">
        <v>521</v>
      </c>
      <c r="H383" s="10" t="s">
        <v>213</v>
      </c>
      <c r="I383" s="10">
        <v>1</v>
      </c>
      <c r="J383" s="10">
        <v>84.34</v>
      </c>
      <c r="K383" s="10">
        <f t="shared" si="2"/>
        <v>84.34</v>
      </c>
      <c r="L383" s="10" t="s">
        <v>267</v>
      </c>
      <c r="M383" s="10" t="str">
        <f t="shared" si="3"/>
        <v>MOBILE MONEY</v>
      </c>
      <c r="N383" s="10" t="s">
        <v>32</v>
      </c>
      <c r="O383" s="10" t="str">
        <f t="shared" si="4"/>
        <v>Mobile Money</v>
      </c>
      <c r="P383" s="9" t="s">
        <v>523</v>
      </c>
      <c r="Q383" s="9" t="str">
        <f t="shared" si="5"/>
        <v>No Comments</v>
      </c>
    </row>
    <row r="384" spans="1:17" ht="14.25" customHeight="1">
      <c r="A384" s="8">
        <v>45572</v>
      </c>
      <c r="B384" s="9" t="str">
        <f t="shared" si="0"/>
        <v>North</v>
      </c>
      <c r="C384" s="9" t="s">
        <v>12</v>
      </c>
      <c r="D384" s="10" t="s">
        <v>42</v>
      </c>
      <c r="E384" s="10" t="str">
        <f t="shared" si="1"/>
        <v>Alice</v>
      </c>
      <c r="F384" s="10" t="s">
        <v>36</v>
      </c>
      <c r="G384" s="9" t="s">
        <v>43</v>
      </c>
      <c r="H384" s="10" t="s">
        <v>183</v>
      </c>
      <c r="I384" s="10">
        <v>16</v>
      </c>
      <c r="J384" s="10">
        <v>77.040000000000006</v>
      </c>
      <c r="K384" s="10">
        <f t="shared" si="2"/>
        <v>1232.6400000000001</v>
      </c>
      <c r="L384" s="10" t="s">
        <v>97</v>
      </c>
      <c r="M384" s="10" t="str">
        <f t="shared" si="3"/>
        <v xml:space="preserve">MOBILE MONEY </v>
      </c>
      <c r="N384" s="10" t="s">
        <v>57</v>
      </c>
      <c r="O384" s="10" t="str">
        <f t="shared" si="4"/>
        <v xml:space="preserve">Mobile Money </v>
      </c>
      <c r="P384" s="10" t="s">
        <v>19</v>
      </c>
      <c r="Q384" s="10" t="str">
        <f t="shared" si="5"/>
        <v>Double Entry</v>
      </c>
    </row>
    <row r="385" spans="1:17" ht="14.25" customHeight="1">
      <c r="A385" s="8">
        <v>45508</v>
      </c>
      <c r="B385" s="10" t="str">
        <f t="shared" si="0"/>
        <v>West</v>
      </c>
      <c r="C385" s="10" t="s">
        <v>54</v>
      </c>
      <c r="D385" s="10" t="s">
        <v>59</v>
      </c>
      <c r="E385" s="10" t="str">
        <f t="shared" si="1"/>
        <v>Charlie</v>
      </c>
      <c r="F385" s="10" t="s">
        <v>36</v>
      </c>
      <c r="G385" s="9" t="s">
        <v>15</v>
      </c>
      <c r="H385" s="10" t="s">
        <v>112</v>
      </c>
      <c r="I385" s="10">
        <v>11</v>
      </c>
      <c r="J385" s="10">
        <v>499.23</v>
      </c>
      <c r="K385" s="10">
        <f t="shared" si="2"/>
        <v>5491.5300000000007</v>
      </c>
      <c r="L385" s="10" t="s">
        <v>323</v>
      </c>
      <c r="M385" s="10" t="str">
        <f t="shared" si="3"/>
        <v>MOBILE MONEY</v>
      </c>
      <c r="N385" s="10" t="s">
        <v>32</v>
      </c>
      <c r="O385" s="10" t="str">
        <f t="shared" si="4"/>
        <v>Mobile Money</v>
      </c>
      <c r="P385" s="10" t="s">
        <v>83</v>
      </c>
      <c r="Q385" s="10" t="str">
        <f t="shared" si="5"/>
        <v>Check Stock</v>
      </c>
    </row>
    <row r="386" spans="1:17" ht="14.25" customHeight="1">
      <c r="A386" s="8">
        <v>45452</v>
      </c>
      <c r="B386" s="9" t="str">
        <f t="shared" si="0"/>
        <v>North</v>
      </c>
      <c r="C386" s="9" t="s">
        <v>12</v>
      </c>
      <c r="D386" s="10" t="s">
        <v>59</v>
      </c>
      <c r="E386" s="10" t="str">
        <f t="shared" si="1"/>
        <v>Charlie</v>
      </c>
      <c r="F386" s="10" t="s">
        <v>14</v>
      </c>
      <c r="G386" s="9" t="s">
        <v>43</v>
      </c>
      <c r="H386" s="10" t="s">
        <v>127</v>
      </c>
      <c r="I386" s="10">
        <v>13</v>
      </c>
      <c r="J386" s="10">
        <v>384.49</v>
      </c>
      <c r="K386" s="10">
        <f t="shared" si="2"/>
        <v>4998.37</v>
      </c>
      <c r="L386" s="10" t="s">
        <v>64</v>
      </c>
      <c r="M386" s="10" t="str">
        <f t="shared" si="3"/>
        <v>CASH</v>
      </c>
      <c r="N386" s="10" t="s">
        <v>93</v>
      </c>
      <c r="O386" s="10" t="str">
        <f t="shared" si="4"/>
        <v>Cash</v>
      </c>
      <c r="P386" s="10" t="s">
        <v>52</v>
      </c>
      <c r="Q386" s="10" t="str">
        <f t="shared" si="5"/>
        <v>Follow Up</v>
      </c>
    </row>
    <row r="387" spans="1:17" ht="14.25" customHeight="1">
      <c r="A387" s="8">
        <v>45459</v>
      </c>
      <c r="B387" s="10" t="str">
        <f t="shared" si="0"/>
        <v>East</v>
      </c>
      <c r="C387" s="10" t="s">
        <v>35</v>
      </c>
      <c r="D387" s="10" t="s">
        <v>22</v>
      </c>
      <c r="E387" s="10" t="str">
        <f t="shared" si="1"/>
        <v>Bob</v>
      </c>
      <c r="F387" s="10" t="s">
        <v>29</v>
      </c>
      <c r="G387" s="9" t="s">
        <v>43</v>
      </c>
      <c r="H387" s="10" t="s">
        <v>213</v>
      </c>
      <c r="I387" s="10">
        <v>16</v>
      </c>
      <c r="J387" s="10">
        <v>309.73</v>
      </c>
      <c r="K387" s="10">
        <f t="shared" si="2"/>
        <v>4955.68</v>
      </c>
      <c r="L387" s="10" t="s">
        <v>207</v>
      </c>
      <c r="M387" s="10" t="str">
        <f t="shared" si="3"/>
        <v xml:space="preserve">MOBILE MONEY </v>
      </c>
      <c r="N387" s="10" t="s">
        <v>57</v>
      </c>
      <c r="O387" s="10" t="str">
        <f t="shared" si="4"/>
        <v xml:space="preserve">Mobile Money </v>
      </c>
      <c r="P387" s="10" t="s">
        <v>83</v>
      </c>
      <c r="Q387" s="10" t="str">
        <f t="shared" si="5"/>
        <v>Check Stock</v>
      </c>
    </row>
    <row r="388" spans="1:17" ht="14.25" customHeight="1">
      <c r="A388" s="8">
        <v>45547</v>
      </c>
      <c r="B388" s="10" t="str">
        <f t="shared" si="0"/>
        <v>West</v>
      </c>
      <c r="C388" s="10" t="s">
        <v>54</v>
      </c>
      <c r="D388" s="10" t="s">
        <v>22</v>
      </c>
      <c r="E388" s="10" t="str">
        <f t="shared" si="1"/>
        <v>Bob</v>
      </c>
      <c r="F388" s="10" t="s">
        <v>50</v>
      </c>
      <c r="G388" s="10" t="s">
        <v>24</v>
      </c>
      <c r="H388" s="10" t="s">
        <v>25</v>
      </c>
      <c r="I388" s="10">
        <v>2</v>
      </c>
      <c r="J388" s="10">
        <v>79.59</v>
      </c>
      <c r="K388" s="10">
        <f t="shared" si="2"/>
        <v>159.18</v>
      </c>
      <c r="L388" s="10" t="s">
        <v>219</v>
      </c>
      <c r="M388" s="10" t="str">
        <f t="shared" si="3"/>
        <v xml:space="preserve">MOBILE MONEY </v>
      </c>
      <c r="N388" s="10" t="s">
        <v>57</v>
      </c>
      <c r="O388" s="10" t="str">
        <f t="shared" si="4"/>
        <v xml:space="preserve">Mobile Money </v>
      </c>
      <c r="P388" s="10" t="s">
        <v>83</v>
      </c>
      <c r="Q388" s="10" t="str">
        <f t="shared" si="5"/>
        <v>Check Stock</v>
      </c>
    </row>
    <row r="389" spans="1:17" ht="14.25" customHeight="1">
      <c r="A389" s="8">
        <v>45301</v>
      </c>
      <c r="B389" s="10" t="str">
        <f t="shared" si="0"/>
        <v>East</v>
      </c>
      <c r="C389" s="10" t="s">
        <v>35</v>
      </c>
      <c r="D389" s="10" t="s">
        <v>28</v>
      </c>
      <c r="E389" s="10" t="str">
        <f t="shared" si="1"/>
        <v>George</v>
      </c>
      <c r="F389" s="10" t="s">
        <v>47</v>
      </c>
      <c r="G389" s="9" t="s">
        <v>521</v>
      </c>
      <c r="H389" s="10" t="s">
        <v>25</v>
      </c>
      <c r="I389" s="10">
        <v>16</v>
      </c>
      <c r="J389" s="10">
        <v>189.78</v>
      </c>
      <c r="K389" s="10">
        <f t="shared" si="2"/>
        <v>3036.48</v>
      </c>
      <c r="L389" s="10" t="s">
        <v>501</v>
      </c>
      <c r="M389" s="10" t="str">
        <f t="shared" si="3"/>
        <v>CREDIT CARD</v>
      </c>
      <c r="N389" s="10" t="s">
        <v>75</v>
      </c>
      <c r="O389" s="10" t="str">
        <f t="shared" si="4"/>
        <v>Credit Card</v>
      </c>
      <c r="P389" s="10" t="s">
        <v>19</v>
      </c>
      <c r="Q389" s="10" t="str">
        <f t="shared" si="5"/>
        <v>Double Entry</v>
      </c>
    </row>
    <row r="390" spans="1:17" ht="14.25" customHeight="1">
      <c r="A390" s="8">
        <v>45412</v>
      </c>
      <c r="B390" s="10" t="str">
        <f t="shared" si="0"/>
        <v>West</v>
      </c>
      <c r="C390" s="10" t="s">
        <v>54</v>
      </c>
      <c r="D390" s="10" t="s">
        <v>13</v>
      </c>
      <c r="E390" s="10" t="str">
        <f t="shared" si="1"/>
        <v>Faith</v>
      </c>
      <c r="F390" s="10" t="s">
        <v>29</v>
      </c>
      <c r="G390" s="10" t="s">
        <v>24</v>
      </c>
      <c r="H390" s="10" t="s">
        <v>117</v>
      </c>
      <c r="I390" s="10">
        <v>12</v>
      </c>
      <c r="J390" s="10">
        <v>383.15</v>
      </c>
      <c r="K390" s="10">
        <f t="shared" si="2"/>
        <v>4597.7999999999993</v>
      </c>
      <c r="L390" s="10" t="s">
        <v>298</v>
      </c>
      <c r="M390" s="10" t="str">
        <f t="shared" si="3"/>
        <v>MOBILE MONEY</v>
      </c>
      <c r="N390" s="10" t="s">
        <v>32</v>
      </c>
      <c r="O390" s="10" t="str">
        <f t="shared" si="4"/>
        <v>Mobile Money</v>
      </c>
      <c r="P390" s="10" t="s">
        <v>52</v>
      </c>
      <c r="Q390" s="10" t="str">
        <f t="shared" si="5"/>
        <v>Follow Up</v>
      </c>
    </row>
    <row r="391" spans="1:17" ht="14.25" customHeight="1">
      <c r="A391" s="8">
        <v>45407</v>
      </c>
      <c r="B391" s="10" t="str">
        <f t="shared" si="0"/>
        <v>SOUTH</v>
      </c>
      <c r="C391" s="10" t="s">
        <v>46</v>
      </c>
      <c r="D391" s="10" t="s">
        <v>62</v>
      </c>
      <c r="E391" s="10" t="str">
        <f t="shared" si="1"/>
        <v>Hannah</v>
      </c>
      <c r="F391" s="10" t="s">
        <v>14</v>
      </c>
      <c r="G391" s="9" t="s">
        <v>43</v>
      </c>
      <c r="H391" s="10" t="s">
        <v>71</v>
      </c>
      <c r="I391" s="10">
        <v>11</v>
      </c>
      <c r="J391" s="10">
        <v>417.12</v>
      </c>
      <c r="K391" s="10">
        <f t="shared" si="2"/>
        <v>4588.32</v>
      </c>
      <c r="L391" s="10" t="s">
        <v>503</v>
      </c>
      <c r="M391" s="9" t="str">
        <f t="shared" si="3"/>
        <v>UNKONWN</v>
      </c>
      <c r="N391" s="9" t="s">
        <v>521</v>
      </c>
      <c r="O391" s="9" t="str">
        <f t="shared" si="4"/>
        <v>Unkonwn</v>
      </c>
      <c r="P391" s="9" t="s">
        <v>523</v>
      </c>
      <c r="Q391" s="9" t="str">
        <f t="shared" si="5"/>
        <v>No Comments</v>
      </c>
    </row>
    <row r="392" spans="1:17" ht="14.25" customHeight="1">
      <c r="A392" s="8">
        <v>45376</v>
      </c>
      <c r="B392" s="9" t="str">
        <f t="shared" si="0"/>
        <v>North</v>
      </c>
      <c r="C392" s="9" t="s">
        <v>12</v>
      </c>
      <c r="D392" s="10" t="s">
        <v>62</v>
      </c>
      <c r="E392" s="10" t="str">
        <f t="shared" si="1"/>
        <v>Hannah</v>
      </c>
      <c r="F392" s="10" t="s">
        <v>50</v>
      </c>
      <c r="G392" s="9" t="s">
        <v>521</v>
      </c>
      <c r="H392" s="10" t="s">
        <v>117</v>
      </c>
      <c r="I392" s="10">
        <v>2</v>
      </c>
      <c r="J392" s="10">
        <v>344.67</v>
      </c>
      <c r="K392" s="10">
        <f t="shared" si="2"/>
        <v>689.34</v>
      </c>
      <c r="L392" s="10" t="s">
        <v>505</v>
      </c>
      <c r="M392" s="10" t="str">
        <f t="shared" si="3"/>
        <v>CASH</v>
      </c>
      <c r="N392" s="10" t="s">
        <v>65</v>
      </c>
      <c r="O392" s="10" t="str">
        <f t="shared" si="4"/>
        <v>Cash</v>
      </c>
      <c r="P392" s="10" t="s">
        <v>33</v>
      </c>
      <c r="Q392" s="10" t="str">
        <f t="shared" si="5"/>
        <v>Priority</v>
      </c>
    </row>
    <row r="393" spans="1:17" ht="14.25" customHeight="1">
      <c r="A393" s="8">
        <v>45305</v>
      </c>
      <c r="B393" s="10" t="str">
        <f t="shared" si="0"/>
        <v>East</v>
      </c>
      <c r="C393" s="10" t="s">
        <v>146</v>
      </c>
      <c r="D393" s="10" t="s">
        <v>77</v>
      </c>
      <c r="E393" s="10" t="str">
        <f t="shared" si="1"/>
        <v>Diana</v>
      </c>
      <c r="F393" s="10" t="s">
        <v>47</v>
      </c>
      <c r="G393" s="9" t="s">
        <v>43</v>
      </c>
      <c r="H393" s="10" t="s">
        <v>273</v>
      </c>
      <c r="I393" s="10">
        <v>12</v>
      </c>
      <c r="J393" s="10">
        <v>301.61</v>
      </c>
      <c r="K393" s="10">
        <f t="shared" si="2"/>
        <v>3619.32</v>
      </c>
      <c r="L393" s="10" t="s">
        <v>356</v>
      </c>
      <c r="M393" s="10" t="str">
        <f t="shared" si="3"/>
        <v xml:space="preserve">MOBILE MONEY </v>
      </c>
      <c r="N393" s="10" t="s">
        <v>57</v>
      </c>
      <c r="O393" s="10" t="str">
        <f t="shared" si="4"/>
        <v xml:space="preserve">Mobile Money </v>
      </c>
      <c r="P393" s="10" t="s">
        <v>52</v>
      </c>
      <c r="Q393" s="10" t="str">
        <f t="shared" si="5"/>
        <v>Follow Up</v>
      </c>
    </row>
    <row r="394" spans="1:17" ht="14.25" customHeight="1">
      <c r="A394" s="8">
        <v>45395</v>
      </c>
      <c r="B394" s="9" t="str">
        <f t="shared" si="0"/>
        <v>North</v>
      </c>
      <c r="C394" s="9" t="s">
        <v>12</v>
      </c>
      <c r="D394" s="10" t="s">
        <v>87</v>
      </c>
      <c r="E394" s="10" t="str">
        <f t="shared" si="1"/>
        <v>Ethan</v>
      </c>
      <c r="F394" s="10" t="s">
        <v>23</v>
      </c>
      <c r="G394" s="9" t="s">
        <v>37</v>
      </c>
      <c r="H394" s="10" t="s">
        <v>25</v>
      </c>
      <c r="I394" s="10">
        <v>5</v>
      </c>
      <c r="J394" s="10">
        <v>123.13</v>
      </c>
      <c r="K394" s="10">
        <f t="shared" si="2"/>
        <v>615.65</v>
      </c>
      <c r="L394" s="10" t="s">
        <v>130</v>
      </c>
      <c r="M394" s="10" t="str">
        <f t="shared" si="3"/>
        <v>CASH</v>
      </c>
      <c r="N394" s="10" t="s">
        <v>65</v>
      </c>
      <c r="O394" s="10" t="str">
        <f t="shared" si="4"/>
        <v>Cash</v>
      </c>
      <c r="P394" s="10" t="s">
        <v>40</v>
      </c>
      <c r="Q394" s="10" t="str">
        <f t="shared" si="5"/>
        <v>Urgent</v>
      </c>
    </row>
    <row r="395" spans="1:17" ht="14.25" customHeight="1">
      <c r="A395" s="8">
        <v>45392</v>
      </c>
      <c r="B395" s="10" t="str">
        <f t="shared" si="0"/>
        <v>SOUTH</v>
      </c>
      <c r="C395" s="10" t="s">
        <v>46</v>
      </c>
      <c r="D395" s="10" t="s">
        <v>42</v>
      </c>
      <c r="E395" s="10" t="str">
        <f t="shared" si="1"/>
        <v>Alice</v>
      </c>
      <c r="F395" s="10" t="s">
        <v>36</v>
      </c>
      <c r="G395" s="9" t="s">
        <v>37</v>
      </c>
      <c r="H395" s="10" t="s">
        <v>30</v>
      </c>
      <c r="I395" s="10">
        <v>13</v>
      </c>
      <c r="J395" s="10">
        <v>103.77</v>
      </c>
      <c r="K395" s="10">
        <f t="shared" si="2"/>
        <v>1349.01</v>
      </c>
      <c r="L395" s="10" t="s">
        <v>219</v>
      </c>
      <c r="M395" s="10" t="str">
        <f t="shared" si="3"/>
        <v>BANK TRANSFER</v>
      </c>
      <c r="N395" s="10" t="s">
        <v>18</v>
      </c>
      <c r="O395" s="10" t="str">
        <f t="shared" si="4"/>
        <v>Bank Transfer</v>
      </c>
      <c r="P395" s="9" t="s">
        <v>523</v>
      </c>
      <c r="Q395" s="9" t="str">
        <f t="shared" si="5"/>
        <v>No Comments</v>
      </c>
    </row>
    <row r="396" spans="1:17" ht="14.25" customHeight="1">
      <c r="A396" s="8">
        <v>45404</v>
      </c>
      <c r="B396" s="10" t="str">
        <f t="shared" si="0"/>
        <v>South</v>
      </c>
      <c r="C396" s="10" t="s">
        <v>21</v>
      </c>
      <c r="D396" s="10" t="s">
        <v>42</v>
      </c>
      <c r="E396" s="10" t="str">
        <f t="shared" si="1"/>
        <v>Alice</v>
      </c>
      <c r="F396" s="10" t="s">
        <v>47</v>
      </c>
      <c r="G396" s="10" t="s">
        <v>70</v>
      </c>
      <c r="H396" s="10" t="s">
        <v>67</v>
      </c>
      <c r="I396" s="10">
        <v>6</v>
      </c>
      <c r="J396" s="10">
        <v>112.15</v>
      </c>
      <c r="K396" s="10">
        <f t="shared" si="2"/>
        <v>672.90000000000009</v>
      </c>
      <c r="L396" s="10" t="s">
        <v>407</v>
      </c>
      <c r="M396" s="9" t="str">
        <f t="shared" si="3"/>
        <v>UNKONWN</v>
      </c>
      <c r="N396" s="9" t="s">
        <v>521</v>
      </c>
      <c r="O396" s="9" t="str">
        <f t="shared" si="4"/>
        <v>Unkonwn</v>
      </c>
      <c r="P396" s="10" t="s">
        <v>33</v>
      </c>
      <c r="Q396" s="10" t="str">
        <f t="shared" si="5"/>
        <v>Priority</v>
      </c>
    </row>
    <row r="397" spans="1:17" ht="14.25" customHeight="1">
      <c r="A397" s="8">
        <v>45316</v>
      </c>
      <c r="B397" s="10" t="str">
        <f t="shared" si="0"/>
        <v>SOUTH</v>
      </c>
      <c r="C397" s="10" t="s">
        <v>46</v>
      </c>
      <c r="D397" s="10" t="s">
        <v>87</v>
      </c>
      <c r="E397" s="10" t="str">
        <f t="shared" si="1"/>
        <v>Ethan</v>
      </c>
      <c r="F397" s="10" t="s">
        <v>23</v>
      </c>
      <c r="G397" s="9" t="s">
        <v>43</v>
      </c>
      <c r="H397" s="10" t="s">
        <v>183</v>
      </c>
      <c r="I397" s="10">
        <v>7</v>
      </c>
      <c r="J397" s="10">
        <v>300.8</v>
      </c>
      <c r="K397" s="10">
        <f t="shared" si="2"/>
        <v>2105.6</v>
      </c>
      <c r="L397" s="10" t="s">
        <v>508</v>
      </c>
      <c r="M397" s="10" t="str">
        <f t="shared" si="3"/>
        <v>CREDIT CARD</v>
      </c>
      <c r="N397" s="10" t="s">
        <v>75</v>
      </c>
      <c r="O397" s="10" t="str">
        <f t="shared" si="4"/>
        <v>Credit Card</v>
      </c>
      <c r="P397" s="10" t="s">
        <v>52</v>
      </c>
      <c r="Q397" s="10" t="str">
        <f t="shared" si="5"/>
        <v>Follow Up</v>
      </c>
    </row>
    <row r="398" spans="1:17" ht="14.25" customHeight="1">
      <c r="A398" s="8">
        <v>45421</v>
      </c>
      <c r="B398" s="10" t="str">
        <f t="shared" si="0"/>
        <v>West</v>
      </c>
      <c r="C398" s="10" t="s">
        <v>54</v>
      </c>
      <c r="D398" s="10" t="s">
        <v>77</v>
      </c>
      <c r="E398" s="10" t="str">
        <f t="shared" si="1"/>
        <v>Diana</v>
      </c>
      <c r="F398" s="10" t="s">
        <v>47</v>
      </c>
      <c r="G398" s="10" t="s">
        <v>70</v>
      </c>
      <c r="H398" s="10" t="s">
        <v>101</v>
      </c>
      <c r="I398" s="10">
        <v>6</v>
      </c>
      <c r="J398" s="10">
        <v>491.58</v>
      </c>
      <c r="K398" s="10">
        <f t="shared" si="2"/>
        <v>2949.48</v>
      </c>
      <c r="L398" s="10" t="s">
        <v>509</v>
      </c>
      <c r="M398" s="10" t="str">
        <f t="shared" si="3"/>
        <v>CASH</v>
      </c>
      <c r="N398" s="10" t="s">
        <v>65</v>
      </c>
      <c r="O398" s="10" t="str">
        <f t="shared" si="4"/>
        <v>Cash</v>
      </c>
      <c r="P398" s="10" t="s">
        <v>33</v>
      </c>
      <c r="Q398" s="10" t="str">
        <f t="shared" si="5"/>
        <v>Priority</v>
      </c>
    </row>
    <row r="399" spans="1:17" ht="14.25" customHeight="1">
      <c r="A399" s="8">
        <v>45470</v>
      </c>
      <c r="B399" s="10" t="str">
        <f t="shared" si="0"/>
        <v>South</v>
      </c>
      <c r="C399" s="10" t="s">
        <v>21</v>
      </c>
      <c r="D399" s="10" t="s">
        <v>59</v>
      </c>
      <c r="E399" s="10" t="str">
        <f t="shared" si="1"/>
        <v>Charlie</v>
      </c>
      <c r="F399" s="10" t="s">
        <v>14</v>
      </c>
      <c r="G399" s="10" t="s">
        <v>70</v>
      </c>
      <c r="H399" s="10" t="s">
        <v>38</v>
      </c>
      <c r="I399" s="10">
        <v>9</v>
      </c>
      <c r="J399" s="10">
        <v>340.47</v>
      </c>
      <c r="K399" s="10">
        <f t="shared" si="2"/>
        <v>3064.2300000000005</v>
      </c>
      <c r="L399" s="10" t="s">
        <v>123</v>
      </c>
      <c r="M399" s="10" t="str">
        <f t="shared" si="3"/>
        <v xml:space="preserve">MOBILE MONEY </v>
      </c>
      <c r="N399" s="10" t="s">
        <v>57</v>
      </c>
      <c r="O399" s="10" t="str">
        <f t="shared" si="4"/>
        <v xml:space="preserve">Mobile Money </v>
      </c>
      <c r="P399" s="10" t="s">
        <v>33</v>
      </c>
      <c r="Q399" s="10" t="str">
        <f t="shared" si="5"/>
        <v>Priority</v>
      </c>
    </row>
    <row r="400" spans="1:17" ht="14.25" customHeight="1">
      <c r="A400" s="8">
        <v>45344</v>
      </c>
      <c r="B400" s="9" t="str">
        <f t="shared" si="0"/>
        <v>North</v>
      </c>
      <c r="C400" s="9" t="s">
        <v>12</v>
      </c>
      <c r="D400" s="10" t="s">
        <v>62</v>
      </c>
      <c r="E400" s="10" t="str">
        <f t="shared" si="1"/>
        <v>Hannah</v>
      </c>
      <c r="F400" s="10" t="s">
        <v>23</v>
      </c>
      <c r="G400" s="9" t="s">
        <v>43</v>
      </c>
      <c r="H400" s="10" t="s">
        <v>101</v>
      </c>
      <c r="I400" s="10">
        <v>6</v>
      </c>
      <c r="J400" s="10">
        <v>269.70999999999998</v>
      </c>
      <c r="K400" s="10">
        <f t="shared" si="2"/>
        <v>1618.2599999999998</v>
      </c>
      <c r="L400" s="10" t="s">
        <v>512</v>
      </c>
      <c r="M400" s="10" t="str">
        <f t="shared" si="3"/>
        <v>MOBILE MONEY</v>
      </c>
      <c r="N400" s="10" t="s">
        <v>32</v>
      </c>
      <c r="O400" s="10" t="str">
        <f t="shared" si="4"/>
        <v>Mobile Money</v>
      </c>
      <c r="P400" s="10" t="s">
        <v>33</v>
      </c>
      <c r="Q400" s="10" t="str">
        <f t="shared" si="5"/>
        <v>Priority</v>
      </c>
    </row>
    <row r="401" spans="1:17" ht="14.25" customHeight="1">
      <c r="A401" s="8">
        <v>45538</v>
      </c>
      <c r="B401" s="10" t="str">
        <f t="shared" si="0"/>
        <v>East</v>
      </c>
      <c r="C401" s="10" t="s">
        <v>146</v>
      </c>
      <c r="D401" s="10" t="s">
        <v>59</v>
      </c>
      <c r="E401" s="10" t="str">
        <f t="shared" si="1"/>
        <v>Charlie</v>
      </c>
      <c r="F401" s="10" t="s">
        <v>47</v>
      </c>
      <c r="G401" s="9" t="s">
        <v>43</v>
      </c>
      <c r="H401" s="10" t="s">
        <v>106</v>
      </c>
      <c r="I401" s="10">
        <v>6</v>
      </c>
      <c r="J401" s="10">
        <v>363.2</v>
      </c>
      <c r="K401" s="10">
        <f t="shared" si="2"/>
        <v>2179.1999999999998</v>
      </c>
      <c r="L401" s="10" t="s">
        <v>514</v>
      </c>
      <c r="M401" s="9" t="str">
        <f t="shared" si="3"/>
        <v>UNKONWN</v>
      </c>
      <c r="N401" s="9" t="s">
        <v>521</v>
      </c>
      <c r="O401" s="9" t="str">
        <f t="shared" si="4"/>
        <v>Unkonwn</v>
      </c>
      <c r="P401" s="10" t="s">
        <v>40</v>
      </c>
      <c r="Q401" s="10" t="str">
        <f t="shared" si="5"/>
        <v>Urgent</v>
      </c>
    </row>
    <row r="402" spans="1:17" ht="14.25" customHeight="1">
      <c r="A402" s="8"/>
      <c r="B402" s="10" t="str">
        <f t="shared" si="0"/>
        <v/>
      </c>
      <c r="E402" s="10" t="str">
        <f t="shared" si="1"/>
        <v/>
      </c>
      <c r="M402" s="10" t="str">
        <f t="shared" si="3"/>
        <v/>
      </c>
      <c r="O402" s="10" t="str">
        <f t="shared" si="4"/>
        <v/>
      </c>
      <c r="Q402" s="10" t="str">
        <f t="shared" si="5"/>
        <v/>
      </c>
    </row>
    <row r="403" spans="1:17" ht="14.25" customHeight="1">
      <c r="A403" s="8"/>
      <c r="B403" s="10" t="str">
        <f t="shared" si="0"/>
        <v/>
      </c>
      <c r="E403" s="10" t="str">
        <f t="shared" si="1"/>
        <v/>
      </c>
      <c r="M403" s="10" t="str">
        <f t="shared" si="3"/>
        <v/>
      </c>
      <c r="O403" s="10" t="str">
        <f t="shared" si="4"/>
        <v/>
      </c>
      <c r="Q403" s="10" t="str">
        <f t="shared" si="5"/>
        <v/>
      </c>
    </row>
    <row r="404" spans="1:17" ht="14.25" customHeight="1">
      <c r="A404" s="8"/>
      <c r="B404" s="10" t="str">
        <f t="shared" si="0"/>
        <v/>
      </c>
      <c r="E404" s="10" t="str">
        <f t="shared" si="1"/>
        <v/>
      </c>
      <c r="M404" s="10" t="str">
        <f t="shared" si="3"/>
        <v/>
      </c>
      <c r="O404" s="10" t="str">
        <f t="shared" si="4"/>
        <v/>
      </c>
      <c r="Q404" s="10" t="str">
        <f t="shared" si="5"/>
        <v/>
      </c>
    </row>
    <row r="405" spans="1:17" ht="14.25" customHeight="1">
      <c r="A405" s="8"/>
      <c r="B405" s="10" t="str">
        <f t="shared" si="0"/>
        <v/>
      </c>
      <c r="E405" s="10" t="str">
        <f t="shared" si="1"/>
        <v/>
      </c>
      <c r="M405" s="10" t="str">
        <f t="shared" si="3"/>
        <v/>
      </c>
      <c r="O405" s="10" t="str">
        <f t="shared" si="4"/>
        <v/>
      </c>
      <c r="Q405" s="10" t="str">
        <f t="shared" si="5"/>
        <v/>
      </c>
    </row>
    <row r="406" spans="1:17" ht="14.25" customHeight="1">
      <c r="A406" s="8"/>
      <c r="B406" s="10" t="str">
        <f t="shared" si="0"/>
        <v/>
      </c>
      <c r="E406" s="10" t="str">
        <f t="shared" si="1"/>
        <v/>
      </c>
      <c r="M406" s="10" t="str">
        <f t="shared" si="3"/>
        <v/>
      </c>
      <c r="O406" s="10" t="str">
        <f t="shared" si="4"/>
        <v/>
      </c>
      <c r="Q406" s="10" t="str">
        <f t="shared" si="5"/>
        <v/>
      </c>
    </row>
    <row r="407" spans="1:17" ht="14.25" customHeight="1">
      <c r="A407" s="8"/>
      <c r="B407" s="10" t="str">
        <f t="shared" si="0"/>
        <v/>
      </c>
      <c r="E407" s="10" t="str">
        <f t="shared" si="1"/>
        <v/>
      </c>
      <c r="M407" s="10" t="str">
        <f t="shared" si="3"/>
        <v/>
      </c>
      <c r="O407" s="10" t="str">
        <f t="shared" si="4"/>
        <v/>
      </c>
      <c r="Q407" s="10" t="str">
        <f t="shared" si="5"/>
        <v/>
      </c>
    </row>
    <row r="408" spans="1:17" ht="14.25" customHeight="1">
      <c r="A408" s="8"/>
      <c r="B408" s="10" t="str">
        <f t="shared" si="0"/>
        <v/>
      </c>
      <c r="E408" s="10" t="str">
        <f t="shared" si="1"/>
        <v/>
      </c>
      <c r="M408" s="10" t="str">
        <f t="shared" si="3"/>
        <v/>
      </c>
      <c r="O408" s="10" t="str">
        <f t="shared" si="4"/>
        <v/>
      </c>
      <c r="Q408" s="10" t="str">
        <f t="shared" si="5"/>
        <v/>
      </c>
    </row>
    <row r="409" spans="1:17" ht="14.25" customHeight="1">
      <c r="A409" s="8"/>
      <c r="B409" s="10" t="str">
        <f t="shared" si="0"/>
        <v/>
      </c>
      <c r="E409" s="10" t="str">
        <f t="shared" si="1"/>
        <v/>
      </c>
      <c r="M409" s="10" t="str">
        <f t="shared" si="3"/>
        <v/>
      </c>
      <c r="O409" s="10" t="str">
        <f t="shared" si="4"/>
        <v/>
      </c>
      <c r="Q409" s="10" t="str">
        <f t="shared" si="5"/>
        <v/>
      </c>
    </row>
    <row r="410" spans="1:17" ht="14.25" customHeight="1">
      <c r="A410" s="8"/>
      <c r="B410" s="10" t="str">
        <f t="shared" si="0"/>
        <v/>
      </c>
      <c r="E410" s="10" t="str">
        <f t="shared" si="1"/>
        <v/>
      </c>
      <c r="M410" s="10" t="str">
        <f t="shared" si="3"/>
        <v/>
      </c>
      <c r="O410" s="10" t="str">
        <f t="shared" si="4"/>
        <v/>
      </c>
      <c r="Q410" s="10" t="str">
        <f t="shared" si="5"/>
        <v/>
      </c>
    </row>
    <row r="411" spans="1:17" ht="14.25" customHeight="1">
      <c r="A411" s="8"/>
      <c r="B411" s="10" t="str">
        <f t="shared" si="0"/>
        <v/>
      </c>
      <c r="E411" s="10" t="str">
        <f t="shared" si="1"/>
        <v/>
      </c>
      <c r="M411" s="10" t="str">
        <f t="shared" si="3"/>
        <v/>
      </c>
      <c r="O411" s="10" t="str">
        <f t="shared" si="4"/>
        <v/>
      </c>
      <c r="Q411" s="10" t="str">
        <f t="shared" si="5"/>
        <v/>
      </c>
    </row>
    <row r="412" spans="1:17" ht="14.25" customHeight="1">
      <c r="A412" s="8"/>
      <c r="B412" s="10" t="str">
        <f t="shared" si="0"/>
        <v/>
      </c>
      <c r="E412" s="10" t="str">
        <f t="shared" si="1"/>
        <v/>
      </c>
      <c r="M412" s="10" t="str">
        <f t="shared" si="3"/>
        <v/>
      </c>
      <c r="O412" s="10" t="str">
        <f t="shared" si="4"/>
        <v/>
      </c>
      <c r="Q412" s="10" t="str">
        <f t="shared" si="5"/>
        <v/>
      </c>
    </row>
    <row r="413" spans="1:17" ht="14.25" customHeight="1">
      <c r="A413" s="8"/>
      <c r="B413" s="10" t="str">
        <f t="shared" si="0"/>
        <v/>
      </c>
      <c r="E413" s="10" t="str">
        <f t="shared" si="1"/>
        <v/>
      </c>
      <c r="M413" s="10" t="str">
        <f t="shared" si="3"/>
        <v/>
      </c>
      <c r="O413" s="10" t="str">
        <f t="shared" si="4"/>
        <v/>
      </c>
      <c r="Q413" s="10" t="str">
        <f t="shared" si="5"/>
        <v/>
      </c>
    </row>
    <row r="414" spans="1:17" ht="14.25" customHeight="1">
      <c r="A414" s="8"/>
      <c r="B414" s="10" t="str">
        <f t="shared" si="0"/>
        <v/>
      </c>
      <c r="E414" s="10" t="str">
        <f t="shared" si="1"/>
        <v/>
      </c>
      <c r="M414" s="10" t="str">
        <f t="shared" si="3"/>
        <v/>
      </c>
      <c r="O414" s="10" t="str">
        <f t="shared" si="4"/>
        <v/>
      </c>
      <c r="Q414" s="10" t="str">
        <f t="shared" si="5"/>
        <v/>
      </c>
    </row>
    <row r="415" spans="1:17" ht="14.25" customHeight="1">
      <c r="A415" s="8"/>
      <c r="B415" s="10" t="str">
        <f t="shared" si="0"/>
        <v/>
      </c>
      <c r="E415" s="10" t="str">
        <f t="shared" si="1"/>
        <v/>
      </c>
      <c r="M415" s="10" t="str">
        <f t="shared" si="3"/>
        <v/>
      </c>
      <c r="O415" s="10" t="str">
        <f t="shared" si="4"/>
        <v/>
      </c>
      <c r="Q415" s="10" t="str">
        <f t="shared" si="5"/>
        <v/>
      </c>
    </row>
    <row r="416" spans="1:17" ht="14.25" customHeight="1">
      <c r="A416" s="8"/>
      <c r="B416" s="10" t="str">
        <f t="shared" si="0"/>
        <v/>
      </c>
      <c r="E416" s="10" t="str">
        <f t="shared" si="1"/>
        <v/>
      </c>
      <c r="M416" s="10" t="str">
        <f t="shared" si="3"/>
        <v/>
      </c>
      <c r="O416" s="10" t="str">
        <f t="shared" si="4"/>
        <v/>
      </c>
      <c r="Q416" s="10" t="str">
        <f t="shared" si="5"/>
        <v/>
      </c>
    </row>
    <row r="417" spans="1:1" ht="14.25" customHeight="1">
      <c r="A417" s="11"/>
    </row>
    <row r="418" spans="1:1" ht="14.25" customHeight="1">
      <c r="A418" s="11"/>
    </row>
    <row r="419" spans="1:1" ht="14.25" customHeight="1">
      <c r="A419" s="11"/>
    </row>
    <row r="420" spans="1:1" ht="14.25" customHeight="1">
      <c r="A420" s="11"/>
    </row>
    <row r="421" spans="1:1" ht="14.25" customHeight="1">
      <c r="A421" s="11"/>
    </row>
    <row r="422" spans="1:1" ht="14.25" customHeight="1">
      <c r="A422" s="11"/>
    </row>
    <row r="423" spans="1:1" ht="14.25" customHeight="1">
      <c r="A423" s="11"/>
    </row>
    <row r="424" spans="1:1" ht="14.25" customHeight="1">
      <c r="A424" s="11"/>
    </row>
    <row r="425" spans="1:1" ht="14.25" customHeight="1">
      <c r="A425" s="11"/>
    </row>
    <row r="426" spans="1:1" ht="14.25" customHeight="1">
      <c r="A426" s="11"/>
    </row>
    <row r="427" spans="1:1" ht="14.25" customHeight="1">
      <c r="A427" s="11"/>
    </row>
    <row r="428" spans="1:1" ht="14.25" customHeight="1">
      <c r="A428" s="11"/>
    </row>
    <row r="429" spans="1:1" ht="14.25" customHeight="1">
      <c r="A429" s="11"/>
    </row>
    <row r="430" spans="1:1" ht="14.25" customHeight="1">
      <c r="A430" s="11"/>
    </row>
    <row r="431" spans="1:1" ht="14.25" customHeight="1">
      <c r="A431" s="11"/>
    </row>
    <row r="432" spans="1:1" ht="14.25" customHeight="1">
      <c r="A432" s="11"/>
    </row>
    <row r="433" spans="1:1" ht="14.25" customHeight="1">
      <c r="A433" s="11"/>
    </row>
    <row r="434" spans="1:1" ht="14.25" customHeight="1">
      <c r="A434" s="11"/>
    </row>
    <row r="435" spans="1:1" ht="14.25" customHeight="1">
      <c r="A435" s="11"/>
    </row>
    <row r="436" spans="1:1" ht="14.25" customHeight="1">
      <c r="A436" s="11"/>
    </row>
    <row r="437" spans="1:1" ht="14.25" customHeight="1">
      <c r="A437" s="11"/>
    </row>
    <row r="438" spans="1:1" ht="14.25" customHeight="1">
      <c r="A438" s="11"/>
    </row>
    <row r="439" spans="1:1" ht="14.25" customHeight="1">
      <c r="A439" s="11"/>
    </row>
    <row r="440" spans="1:1" ht="14.25" customHeight="1">
      <c r="A440" s="11"/>
    </row>
    <row r="441" spans="1:1" ht="14.25" customHeight="1">
      <c r="A441" s="11"/>
    </row>
    <row r="442" spans="1:1" ht="14.25" customHeight="1">
      <c r="A442" s="11"/>
    </row>
    <row r="443" spans="1:1" ht="14.25" customHeight="1">
      <c r="A443" s="11"/>
    </row>
    <row r="444" spans="1:1" ht="14.25" customHeight="1">
      <c r="A444" s="11"/>
    </row>
    <row r="445" spans="1:1" ht="14.25" customHeight="1">
      <c r="A445" s="11"/>
    </row>
    <row r="446" spans="1:1" ht="14.25" customHeight="1">
      <c r="A446" s="11"/>
    </row>
    <row r="447" spans="1:1" ht="14.25" customHeight="1">
      <c r="A447" s="11"/>
    </row>
    <row r="448" spans="1:1" ht="14.25" customHeight="1">
      <c r="A448" s="11"/>
    </row>
    <row r="449" spans="1:1" ht="14.25" customHeight="1">
      <c r="A449" s="11"/>
    </row>
    <row r="450" spans="1:1" ht="14.25" customHeight="1">
      <c r="A450" s="11"/>
    </row>
    <row r="451" spans="1:1" ht="14.25" customHeight="1">
      <c r="A451" s="11"/>
    </row>
    <row r="452" spans="1:1" ht="14.25" customHeight="1">
      <c r="A452" s="11"/>
    </row>
    <row r="453" spans="1:1" ht="14.25" customHeight="1">
      <c r="A453" s="11"/>
    </row>
    <row r="454" spans="1:1" ht="14.25" customHeight="1">
      <c r="A454" s="11"/>
    </row>
    <row r="455" spans="1:1" ht="14.25" customHeight="1">
      <c r="A455" s="11"/>
    </row>
    <row r="456" spans="1:1" ht="14.25" customHeight="1">
      <c r="A456" s="11"/>
    </row>
    <row r="457" spans="1:1" ht="14.25" customHeight="1">
      <c r="A457" s="11"/>
    </row>
    <row r="458" spans="1:1" ht="14.25" customHeight="1">
      <c r="A458" s="11"/>
    </row>
    <row r="459" spans="1:1" ht="14.25" customHeight="1">
      <c r="A459" s="11"/>
    </row>
    <row r="460" spans="1:1" ht="14.25" customHeight="1">
      <c r="A460" s="11"/>
    </row>
    <row r="461" spans="1:1" ht="14.25" customHeight="1">
      <c r="A461" s="11"/>
    </row>
    <row r="462" spans="1:1" ht="14.25" customHeight="1">
      <c r="A462" s="11"/>
    </row>
    <row r="463" spans="1:1" ht="14.25" customHeight="1">
      <c r="A463" s="11"/>
    </row>
    <row r="464" spans="1:1" ht="14.25" customHeight="1">
      <c r="A464" s="11"/>
    </row>
    <row r="465" spans="1:1" ht="14.25" customHeight="1">
      <c r="A465" s="11"/>
    </row>
    <row r="466" spans="1:1" ht="14.25" customHeight="1">
      <c r="A466" s="11"/>
    </row>
    <row r="467" spans="1:1" ht="14.25" customHeight="1">
      <c r="A467" s="11"/>
    </row>
    <row r="468" spans="1:1" ht="14.25" customHeight="1">
      <c r="A468" s="11"/>
    </row>
    <row r="469" spans="1:1" ht="14.25" customHeight="1">
      <c r="A469" s="11"/>
    </row>
    <row r="470" spans="1:1" ht="14.25" customHeight="1">
      <c r="A470" s="11"/>
    </row>
    <row r="471" spans="1:1" ht="14.25" customHeight="1">
      <c r="A471" s="11"/>
    </row>
    <row r="472" spans="1:1" ht="14.25" customHeight="1">
      <c r="A472" s="11"/>
    </row>
    <row r="473" spans="1:1" ht="14.25" customHeight="1">
      <c r="A473" s="11"/>
    </row>
    <row r="474" spans="1:1" ht="14.25" customHeight="1">
      <c r="A474" s="11"/>
    </row>
    <row r="475" spans="1:1" ht="14.25" customHeight="1">
      <c r="A475" s="11"/>
    </row>
    <row r="476" spans="1:1" ht="14.25" customHeight="1">
      <c r="A476" s="11"/>
    </row>
    <row r="477" spans="1:1" ht="14.25" customHeight="1">
      <c r="A477" s="11"/>
    </row>
    <row r="478" spans="1:1" ht="14.25" customHeight="1">
      <c r="A478" s="11"/>
    </row>
    <row r="479" spans="1:1" ht="14.25" customHeight="1">
      <c r="A479" s="11"/>
    </row>
    <row r="480" spans="1:1" ht="14.25" customHeight="1">
      <c r="A480" s="11"/>
    </row>
    <row r="481" spans="1:1" ht="14.25" customHeight="1">
      <c r="A481" s="11"/>
    </row>
    <row r="482" spans="1:1" ht="14.25" customHeight="1">
      <c r="A482" s="11"/>
    </row>
    <row r="483" spans="1:1" ht="14.25" customHeight="1">
      <c r="A483" s="11"/>
    </row>
    <row r="484" spans="1:1" ht="14.25" customHeight="1">
      <c r="A484" s="11"/>
    </row>
    <row r="485" spans="1:1" ht="14.25" customHeight="1">
      <c r="A485" s="11"/>
    </row>
    <row r="486" spans="1:1" ht="14.25" customHeight="1">
      <c r="A486" s="11"/>
    </row>
    <row r="487" spans="1:1" ht="14.25" customHeight="1">
      <c r="A487" s="11"/>
    </row>
    <row r="488" spans="1:1" ht="14.25" customHeight="1">
      <c r="A488" s="11"/>
    </row>
    <row r="489" spans="1:1" ht="14.25" customHeight="1">
      <c r="A489" s="11"/>
    </row>
    <row r="490" spans="1:1" ht="14.25" customHeight="1">
      <c r="A490" s="11"/>
    </row>
    <row r="491" spans="1:1" ht="14.25" customHeight="1">
      <c r="A491" s="11"/>
    </row>
    <row r="492" spans="1:1" ht="14.25" customHeight="1">
      <c r="A492" s="11"/>
    </row>
    <row r="493" spans="1:1" ht="14.25" customHeight="1">
      <c r="A493" s="11"/>
    </row>
    <row r="494" spans="1:1" ht="14.25" customHeight="1">
      <c r="A494" s="11"/>
    </row>
    <row r="495" spans="1:1" ht="14.25" customHeight="1">
      <c r="A495" s="11"/>
    </row>
    <row r="496" spans="1:1" ht="14.25" customHeight="1">
      <c r="A496" s="11"/>
    </row>
    <row r="497" spans="1:1" ht="14.25" customHeight="1">
      <c r="A497" s="11"/>
    </row>
    <row r="498" spans="1:1" ht="14.25" customHeight="1">
      <c r="A498" s="11"/>
    </row>
    <row r="499" spans="1:1" ht="14.25" customHeight="1">
      <c r="A499" s="11"/>
    </row>
    <row r="500" spans="1:1" ht="14.25" customHeight="1">
      <c r="A500" s="11"/>
    </row>
    <row r="501" spans="1:1" ht="14.25" customHeight="1">
      <c r="A501" s="11"/>
    </row>
    <row r="502" spans="1:1" ht="14.25" customHeight="1">
      <c r="A502" s="11"/>
    </row>
    <row r="503" spans="1:1" ht="14.25" customHeight="1">
      <c r="A503" s="11"/>
    </row>
    <row r="504" spans="1:1" ht="14.25" customHeight="1">
      <c r="A504" s="11"/>
    </row>
    <row r="505" spans="1:1" ht="14.25" customHeight="1">
      <c r="A505" s="11"/>
    </row>
    <row r="506" spans="1:1" ht="14.25" customHeight="1">
      <c r="A506" s="11"/>
    </row>
    <row r="507" spans="1:1" ht="14.25" customHeight="1">
      <c r="A507" s="11"/>
    </row>
    <row r="508" spans="1:1" ht="14.25" customHeight="1">
      <c r="A508" s="11"/>
    </row>
    <row r="509" spans="1:1" ht="14.25" customHeight="1">
      <c r="A509" s="11"/>
    </row>
    <row r="510" spans="1:1" ht="14.25" customHeight="1">
      <c r="A510" s="11"/>
    </row>
    <row r="511" spans="1:1" ht="14.25" customHeight="1">
      <c r="A511" s="11"/>
    </row>
    <row r="512" spans="1:1" ht="14.25" customHeight="1">
      <c r="A512" s="11"/>
    </row>
    <row r="513" spans="1:1" ht="14.25" customHeight="1">
      <c r="A513" s="11"/>
    </row>
    <row r="514" spans="1:1" ht="14.25" customHeight="1">
      <c r="A514" s="11"/>
    </row>
    <row r="515" spans="1:1" ht="14.25" customHeight="1">
      <c r="A515" s="11"/>
    </row>
    <row r="516" spans="1:1" ht="14.25" customHeight="1">
      <c r="A516" s="11"/>
    </row>
    <row r="517" spans="1:1" ht="14.25" customHeight="1">
      <c r="A517" s="11"/>
    </row>
    <row r="518" spans="1:1" ht="14.25" customHeight="1">
      <c r="A518" s="11"/>
    </row>
    <row r="519" spans="1:1" ht="14.25" customHeight="1">
      <c r="A519" s="11"/>
    </row>
    <row r="520" spans="1:1" ht="14.25" customHeight="1">
      <c r="A520" s="11"/>
    </row>
    <row r="521" spans="1:1" ht="14.25" customHeight="1">
      <c r="A521" s="11"/>
    </row>
    <row r="522" spans="1:1" ht="14.25" customHeight="1">
      <c r="A522" s="11"/>
    </row>
    <row r="523" spans="1:1" ht="14.25" customHeight="1">
      <c r="A523" s="11"/>
    </row>
    <row r="524" spans="1:1" ht="14.25" customHeight="1">
      <c r="A524" s="11"/>
    </row>
    <row r="525" spans="1:1" ht="14.25" customHeight="1">
      <c r="A525" s="11"/>
    </row>
    <row r="526" spans="1:1" ht="14.25" customHeight="1">
      <c r="A526" s="11"/>
    </row>
    <row r="527" spans="1:1" ht="14.25" customHeight="1">
      <c r="A527" s="11"/>
    </row>
    <row r="528" spans="1:1" ht="14.25" customHeight="1">
      <c r="A528" s="11"/>
    </row>
    <row r="529" spans="1:1" ht="14.25" customHeight="1">
      <c r="A529" s="11"/>
    </row>
    <row r="530" spans="1:1" ht="14.25" customHeight="1">
      <c r="A530" s="11"/>
    </row>
    <row r="531" spans="1:1" ht="14.25" customHeight="1">
      <c r="A531" s="11"/>
    </row>
    <row r="532" spans="1:1" ht="14.25" customHeight="1">
      <c r="A532" s="11"/>
    </row>
    <row r="533" spans="1:1" ht="14.25" customHeight="1">
      <c r="A533" s="11"/>
    </row>
    <row r="534" spans="1:1" ht="14.25" customHeight="1">
      <c r="A534" s="11"/>
    </row>
    <row r="535" spans="1:1" ht="14.25" customHeight="1">
      <c r="A535" s="11"/>
    </row>
    <row r="536" spans="1:1" ht="14.25" customHeight="1">
      <c r="A536" s="11"/>
    </row>
    <row r="537" spans="1:1" ht="14.25" customHeight="1">
      <c r="A537" s="11"/>
    </row>
    <row r="538" spans="1:1" ht="14.25" customHeight="1">
      <c r="A538" s="11"/>
    </row>
    <row r="539" spans="1:1" ht="14.25" customHeight="1">
      <c r="A539" s="11"/>
    </row>
    <row r="540" spans="1:1" ht="14.25" customHeight="1">
      <c r="A540" s="11"/>
    </row>
    <row r="541" spans="1:1" ht="14.25" customHeight="1">
      <c r="A541" s="11"/>
    </row>
    <row r="542" spans="1:1" ht="14.25" customHeight="1">
      <c r="A542" s="11"/>
    </row>
    <row r="543" spans="1:1" ht="14.25" customHeight="1">
      <c r="A543" s="11"/>
    </row>
    <row r="544" spans="1:1" ht="14.25" customHeight="1">
      <c r="A544" s="11"/>
    </row>
    <row r="545" spans="1:1" ht="14.25" customHeight="1">
      <c r="A545" s="11"/>
    </row>
    <row r="546" spans="1:1" ht="14.25" customHeight="1">
      <c r="A546" s="11"/>
    </row>
    <row r="547" spans="1:1" ht="14.25" customHeight="1">
      <c r="A547" s="11"/>
    </row>
    <row r="548" spans="1:1" ht="14.25" customHeight="1">
      <c r="A548" s="11"/>
    </row>
    <row r="549" spans="1:1" ht="14.25" customHeight="1">
      <c r="A549" s="11"/>
    </row>
    <row r="550" spans="1:1" ht="14.25" customHeight="1">
      <c r="A550" s="11"/>
    </row>
    <row r="551" spans="1:1" ht="14.25" customHeight="1">
      <c r="A551" s="11"/>
    </row>
    <row r="552" spans="1:1" ht="14.25" customHeight="1">
      <c r="A552" s="11"/>
    </row>
    <row r="553" spans="1:1" ht="14.25" customHeight="1">
      <c r="A553" s="11"/>
    </row>
    <row r="554" spans="1:1" ht="14.25" customHeight="1">
      <c r="A554" s="11"/>
    </row>
    <row r="555" spans="1:1" ht="14.25" customHeight="1">
      <c r="A555" s="11"/>
    </row>
    <row r="556" spans="1:1" ht="14.25" customHeight="1">
      <c r="A556" s="11"/>
    </row>
    <row r="557" spans="1:1" ht="14.25" customHeight="1">
      <c r="A557" s="11"/>
    </row>
    <row r="558" spans="1:1" ht="14.25" customHeight="1">
      <c r="A558" s="11"/>
    </row>
    <row r="559" spans="1:1" ht="14.25" customHeight="1">
      <c r="A559" s="11"/>
    </row>
    <row r="560" spans="1:1" ht="14.25" customHeight="1">
      <c r="A560" s="11"/>
    </row>
    <row r="561" spans="1:1" ht="14.25" customHeight="1">
      <c r="A561" s="11"/>
    </row>
    <row r="562" spans="1:1" ht="14.25" customHeight="1">
      <c r="A562" s="11"/>
    </row>
    <row r="563" spans="1:1" ht="14.25" customHeight="1">
      <c r="A563" s="11"/>
    </row>
    <row r="564" spans="1:1" ht="14.25" customHeight="1">
      <c r="A564" s="11"/>
    </row>
    <row r="565" spans="1:1" ht="14.25" customHeight="1">
      <c r="A565" s="11"/>
    </row>
    <row r="566" spans="1:1" ht="14.25" customHeight="1">
      <c r="A566" s="11"/>
    </row>
    <row r="567" spans="1:1" ht="14.25" customHeight="1">
      <c r="A567" s="11"/>
    </row>
    <row r="568" spans="1:1" ht="14.25" customHeight="1">
      <c r="A568" s="11"/>
    </row>
    <row r="569" spans="1:1" ht="14.25" customHeight="1">
      <c r="A569" s="11"/>
    </row>
    <row r="570" spans="1:1" ht="14.25" customHeight="1">
      <c r="A570" s="11"/>
    </row>
    <row r="571" spans="1:1" ht="14.25" customHeight="1">
      <c r="A571" s="11"/>
    </row>
    <row r="572" spans="1:1" ht="14.25" customHeight="1">
      <c r="A572" s="11"/>
    </row>
    <row r="573" spans="1:1" ht="14.25" customHeight="1">
      <c r="A573" s="11"/>
    </row>
    <row r="574" spans="1:1" ht="14.25" customHeight="1">
      <c r="A574" s="11"/>
    </row>
    <row r="575" spans="1:1" ht="14.25" customHeight="1">
      <c r="A575" s="11"/>
    </row>
    <row r="576" spans="1:1" ht="14.25" customHeight="1">
      <c r="A576" s="11"/>
    </row>
    <row r="577" spans="1:1" ht="14.25" customHeight="1">
      <c r="A577" s="11"/>
    </row>
    <row r="578" spans="1:1" ht="14.25" customHeight="1">
      <c r="A578" s="11"/>
    </row>
    <row r="579" spans="1:1" ht="14.25" customHeight="1">
      <c r="A579" s="11"/>
    </row>
    <row r="580" spans="1:1" ht="14.25" customHeight="1">
      <c r="A580" s="11"/>
    </row>
    <row r="581" spans="1:1" ht="14.25" customHeight="1">
      <c r="A581" s="11"/>
    </row>
    <row r="582" spans="1:1" ht="14.25" customHeight="1">
      <c r="A582" s="11"/>
    </row>
    <row r="583" spans="1:1" ht="14.25" customHeight="1">
      <c r="A583" s="11"/>
    </row>
    <row r="584" spans="1:1" ht="14.25" customHeight="1">
      <c r="A584" s="11"/>
    </row>
    <row r="585" spans="1:1" ht="14.25" customHeight="1">
      <c r="A585" s="11"/>
    </row>
    <row r="586" spans="1:1" ht="14.25" customHeight="1">
      <c r="A586" s="11"/>
    </row>
    <row r="587" spans="1:1" ht="14.25" customHeight="1">
      <c r="A587" s="11"/>
    </row>
    <row r="588" spans="1:1" ht="14.25" customHeight="1">
      <c r="A588" s="11"/>
    </row>
    <row r="589" spans="1:1" ht="14.25" customHeight="1">
      <c r="A589" s="11"/>
    </row>
    <row r="590" spans="1:1" ht="14.25" customHeight="1">
      <c r="A590" s="11"/>
    </row>
    <row r="591" spans="1:1" ht="14.25" customHeight="1">
      <c r="A591" s="11"/>
    </row>
    <row r="592" spans="1:1" ht="14.25" customHeight="1">
      <c r="A592" s="11"/>
    </row>
    <row r="593" spans="1:1" ht="14.25" customHeight="1">
      <c r="A593" s="11"/>
    </row>
    <row r="594" spans="1:1" ht="14.25" customHeight="1">
      <c r="A594" s="11"/>
    </row>
    <row r="595" spans="1:1" ht="14.25" customHeight="1">
      <c r="A595" s="11"/>
    </row>
    <row r="596" spans="1:1" ht="14.25" customHeight="1">
      <c r="A596" s="11"/>
    </row>
    <row r="597" spans="1:1" ht="14.25" customHeight="1">
      <c r="A597" s="11"/>
    </row>
    <row r="598" spans="1:1" ht="14.25" customHeight="1">
      <c r="A598" s="11"/>
    </row>
    <row r="599" spans="1:1" ht="14.25" customHeight="1">
      <c r="A599" s="11"/>
    </row>
    <row r="600" spans="1:1" ht="14.25" customHeight="1">
      <c r="A600" s="11"/>
    </row>
    <row r="601" spans="1:1" ht="14.25" customHeight="1">
      <c r="A601" s="11"/>
    </row>
    <row r="602" spans="1:1" ht="14.25" customHeight="1">
      <c r="A602" s="11"/>
    </row>
    <row r="603" spans="1:1" ht="14.25" customHeight="1">
      <c r="A603" s="11"/>
    </row>
    <row r="604" spans="1:1" ht="14.25" customHeight="1">
      <c r="A604" s="11"/>
    </row>
    <row r="605" spans="1:1" ht="14.25" customHeight="1">
      <c r="A605" s="11"/>
    </row>
    <row r="606" spans="1:1" ht="14.25" customHeight="1">
      <c r="A606" s="11"/>
    </row>
    <row r="607" spans="1:1" ht="14.25" customHeight="1">
      <c r="A607" s="11"/>
    </row>
    <row r="608" spans="1:1" ht="14.25" customHeight="1">
      <c r="A608" s="11"/>
    </row>
    <row r="609" spans="1:1" ht="14.25" customHeight="1">
      <c r="A609" s="11"/>
    </row>
    <row r="610" spans="1:1" ht="14.25" customHeight="1">
      <c r="A610" s="11"/>
    </row>
    <row r="611" spans="1:1" ht="14.25" customHeight="1">
      <c r="A611" s="11"/>
    </row>
    <row r="612" spans="1:1" ht="14.25" customHeight="1">
      <c r="A612" s="11"/>
    </row>
    <row r="613" spans="1:1" ht="14.25" customHeight="1">
      <c r="A613" s="11"/>
    </row>
    <row r="614" spans="1:1" ht="14.25" customHeight="1">
      <c r="A614" s="11"/>
    </row>
    <row r="615" spans="1:1" ht="14.25" customHeight="1">
      <c r="A615" s="11"/>
    </row>
    <row r="616" spans="1:1" ht="14.25" customHeight="1">
      <c r="A616" s="11"/>
    </row>
    <row r="617" spans="1:1" ht="14.25" customHeight="1">
      <c r="A617" s="11"/>
    </row>
    <row r="618" spans="1:1" ht="14.25" customHeight="1">
      <c r="A618" s="11"/>
    </row>
    <row r="619" spans="1:1" ht="14.25" customHeight="1">
      <c r="A619" s="11"/>
    </row>
    <row r="620" spans="1:1" ht="14.25" customHeight="1">
      <c r="A620" s="11"/>
    </row>
    <row r="621" spans="1:1" ht="14.25" customHeight="1">
      <c r="A621" s="11"/>
    </row>
    <row r="622" spans="1:1" ht="14.25" customHeight="1">
      <c r="A622" s="11"/>
    </row>
    <row r="623" spans="1:1" ht="14.25" customHeight="1">
      <c r="A623" s="11"/>
    </row>
    <row r="624" spans="1:1" ht="14.25" customHeight="1">
      <c r="A624" s="11"/>
    </row>
    <row r="625" spans="1:1" ht="14.25" customHeight="1">
      <c r="A625" s="11"/>
    </row>
    <row r="626" spans="1:1" ht="14.25" customHeight="1">
      <c r="A626" s="11"/>
    </row>
    <row r="627" spans="1:1" ht="14.25" customHeight="1">
      <c r="A627" s="11"/>
    </row>
    <row r="628" spans="1:1" ht="14.25" customHeight="1">
      <c r="A628" s="11"/>
    </row>
    <row r="629" spans="1:1" ht="14.25" customHeight="1">
      <c r="A629" s="11"/>
    </row>
    <row r="630" spans="1:1" ht="14.25" customHeight="1">
      <c r="A630" s="11"/>
    </row>
    <row r="631" spans="1:1" ht="14.25" customHeight="1">
      <c r="A631" s="11"/>
    </row>
    <row r="632" spans="1:1" ht="14.25" customHeight="1">
      <c r="A632" s="11"/>
    </row>
    <row r="633" spans="1:1" ht="14.25" customHeight="1">
      <c r="A633" s="11"/>
    </row>
    <row r="634" spans="1:1" ht="14.25" customHeight="1">
      <c r="A634" s="11"/>
    </row>
    <row r="635" spans="1:1" ht="14.25" customHeight="1">
      <c r="A635" s="11"/>
    </row>
    <row r="636" spans="1:1" ht="14.25" customHeight="1">
      <c r="A636" s="11"/>
    </row>
    <row r="637" spans="1:1" ht="14.25" customHeight="1">
      <c r="A637" s="11"/>
    </row>
    <row r="638" spans="1:1" ht="14.25" customHeight="1">
      <c r="A638" s="11"/>
    </row>
    <row r="639" spans="1:1" ht="14.25" customHeight="1">
      <c r="A639" s="11"/>
    </row>
    <row r="640" spans="1:1" ht="14.25" customHeight="1">
      <c r="A640" s="11"/>
    </row>
    <row r="641" spans="1:1" ht="14.25" customHeight="1">
      <c r="A641" s="11"/>
    </row>
    <row r="642" spans="1:1" ht="14.25" customHeight="1">
      <c r="A642" s="11"/>
    </row>
    <row r="643" spans="1:1" ht="14.25" customHeight="1">
      <c r="A643" s="11"/>
    </row>
    <row r="644" spans="1:1" ht="14.25" customHeight="1">
      <c r="A644" s="11"/>
    </row>
    <row r="645" spans="1:1" ht="14.25" customHeight="1">
      <c r="A645" s="11"/>
    </row>
    <row r="646" spans="1:1" ht="14.25" customHeight="1">
      <c r="A646" s="11"/>
    </row>
    <row r="647" spans="1:1" ht="14.25" customHeight="1">
      <c r="A647" s="11"/>
    </row>
    <row r="648" spans="1:1" ht="14.25" customHeight="1">
      <c r="A648" s="11"/>
    </row>
    <row r="649" spans="1:1" ht="14.25" customHeight="1">
      <c r="A649" s="11"/>
    </row>
    <row r="650" spans="1:1" ht="14.25" customHeight="1">
      <c r="A650" s="11"/>
    </row>
    <row r="651" spans="1:1" ht="14.25" customHeight="1">
      <c r="A651" s="11"/>
    </row>
    <row r="652" spans="1:1" ht="14.25" customHeight="1">
      <c r="A652" s="11"/>
    </row>
    <row r="653" spans="1:1" ht="14.25" customHeight="1">
      <c r="A653" s="11"/>
    </row>
    <row r="654" spans="1:1" ht="14.25" customHeight="1">
      <c r="A654" s="11"/>
    </row>
    <row r="655" spans="1:1" ht="14.25" customHeight="1">
      <c r="A655" s="11"/>
    </row>
    <row r="656" spans="1:1" ht="14.25" customHeight="1">
      <c r="A656" s="11"/>
    </row>
    <row r="657" spans="1:1" ht="14.25" customHeight="1">
      <c r="A657" s="11"/>
    </row>
    <row r="658" spans="1:1" ht="14.25" customHeight="1">
      <c r="A658" s="11"/>
    </row>
    <row r="659" spans="1:1" ht="14.25" customHeight="1">
      <c r="A659" s="11"/>
    </row>
    <row r="660" spans="1:1" ht="14.25" customHeight="1">
      <c r="A660" s="11"/>
    </row>
    <row r="661" spans="1:1" ht="14.25" customHeight="1">
      <c r="A661" s="11"/>
    </row>
    <row r="662" spans="1:1" ht="14.25" customHeight="1">
      <c r="A662" s="11"/>
    </row>
    <row r="663" spans="1:1" ht="14.25" customHeight="1">
      <c r="A663" s="11"/>
    </row>
    <row r="664" spans="1:1" ht="14.25" customHeight="1">
      <c r="A664" s="11"/>
    </row>
    <row r="665" spans="1:1" ht="14.25" customHeight="1">
      <c r="A665" s="11"/>
    </row>
    <row r="666" spans="1:1" ht="14.25" customHeight="1">
      <c r="A666" s="11"/>
    </row>
    <row r="667" spans="1:1" ht="14.25" customHeight="1">
      <c r="A667" s="11"/>
    </row>
    <row r="668" spans="1:1" ht="14.25" customHeight="1">
      <c r="A668" s="11"/>
    </row>
    <row r="669" spans="1:1" ht="14.25" customHeight="1">
      <c r="A669" s="11"/>
    </row>
    <row r="670" spans="1:1" ht="14.25" customHeight="1">
      <c r="A670" s="11"/>
    </row>
    <row r="671" spans="1:1" ht="14.25" customHeight="1">
      <c r="A671" s="11"/>
    </row>
    <row r="672" spans="1:1" ht="14.25" customHeight="1">
      <c r="A672" s="11"/>
    </row>
    <row r="673" spans="1:1" ht="14.25" customHeight="1">
      <c r="A673" s="11"/>
    </row>
    <row r="674" spans="1:1" ht="14.25" customHeight="1">
      <c r="A674" s="11"/>
    </row>
    <row r="675" spans="1:1" ht="14.25" customHeight="1">
      <c r="A675" s="11"/>
    </row>
    <row r="676" spans="1:1" ht="14.25" customHeight="1">
      <c r="A676" s="11"/>
    </row>
    <row r="677" spans="1:1" ht="14.25" customHeight="1">
      <c r="A677" s="11"/>
    </row>
    <row r="678" spans="1:1" ht="14.25" customHeight="1">
      <c r="A678" s="11"/>
    </row>
    <row r="679" spans="1:1" ht="14.25" customHeight="1">
      <c r="A679" s="11"/>
    </row>
    <row r="680" spans="1:1" ht="14.25" customHeight="1">
      <c r="A680" s="11"/>
    </row>
    <row r="681" spans="1:1" ht="14.25" customHeight="1">
      <c r="A681" s="11"/>
    </row>
    <row r="682" spans="1:1" ht="14.25" customHeight="1">
      <c r="A682" s="11"/>
    </row>
    <row r="683" spans="1:1" ht="14.25" customHeight="1">
      <c r="A683" s="11"/>
    </row>
    <row r="684" spans="1:1" ht="14.25" customHeight="1">
      <c r="A684" s="11"/>
    </row>
    <row r="685" spans="1:1" ht="14.25" customHeight="1">
      <c r="A685" s="11"/>
    </row>
    <row r="686" spans="1:1" ht="14.25" customHeight="1">
      <c r="A686" s="11"/>
    </row>
    <row r="687" spans="1:1" ht="14.25" customHeight="1">
      <c r="A687" s="11"/>
    </row>
    <row r="688" spans="1:1" ht="14.25" customHeight="1">
      <c r="A688" s="11"/>
    </row>
    <row r="689" spans="1:1" ht="14.25" customHeight="1">
      <c r="A689" s="11"/>
    </row>
    <row r="690" spans="1:1" ht="14.25" customHeight="1">
      <c r="A690" s="11"/>
    </row>
    <row r="691" spans="1:1" ht="14.25" customHeight="1">
      <c r="A691" s="11"/>
    </row>
    <row r="692" spans="1:1" ht="14.25" customHeight="1">
      <c r="A692" s="11"/>
    </row>
    <row r="693" spans="1:1" ht="14.25" customHeight="1">
      <c r="A693" s="11"/>
    </row>
    <row r="694" spans="1:1" ht="14.25" customHeight="1">
      <c r="A694" s="11"/>
    </row>
    <row r="695" spans="1:1" ht="14.25" customHeight="1">
      <c r="A695" s="11"/>
    </row>
    <row r="696" spans="1:1" ht="14.25" customHeight="1">
      <c r="A696" s="11"/>
    </row>
    <row r="697" spans="1:1" ht="14.25" customHeight="1">
      <c r="A697" s="11"/>
    </row>
    <row r="698" spans="1:1" ht="14.25" customHeight="1">
      <c r="A698" s="11"/>
    </row>
    <row r="699" spans="1:1" ht="14.25" customHeight="1">
      <c r="A699" s="11"/>
    </row>
    <row r="700" spans="1:1" ht="14.25" customHeight="1">
      <c r="A700" s="11"/>
    </row>
    <row r="701" spans="1:1" ht="14.25" customHeight="1">
      <c r="A701" s="11"/>
    </row>
    <row r="702" spans="1:1" ht="14.25" customHeight="1">
      <c r="A702" s="11"/>
    </row>
    <row r="703" spans="1:1" ht="14.25" customHeight="1">
      <c r="A703" s="11"/>
    </row>
    <row r="704" spans="1:1" ht="14.25" customHeight="1">
      <c r="A704" s="11"/>
    </row>
    <row r="705" spans="1:1" ht="14.25" customHeight="1">
      <c r="A705" s="11"/>
    </row>
    <row r="706" spans="1:1" ht="14.25" customHeight="1">
      <c r="A706" s="11"/>
    </row>
    <row r="707" spans="1:1" ht="14.25" customHeight="1">
      <c r="A707" s="11"/>
    </row>
    <row r="708" spans="1:1" ht="14.25" customHeight="1">
      <c r="A708" s="11"/>
    </row>
    <row r="709" spans="1:1" ht="14.25" customHeight="1">
      <c r="A709" s="11"/>
    </row>
    <row r="710" spans="1:1" ht="14.25" customHeight="1">
      <c r="A710" s="11"/>
    </row>
    <row r="711" spans="1:1" ht="14.25" customHeight="1">
      <c r="A711" s="11"/>
    </row>
    <row r="712" spans="1:1" ht="14.25" customHeight="1">
      <c r="A712" s="11"/>
    </row>
    <row r="713" spans="1:1" ht="14.25" customHeight="1">
      <c r="A713" s="11"/>
    </row>
    <row r="714" spans="1:1" ht="14.25" customHeight="1">
      <c r="A714" s="11"/>
    </row>
    <row r="715" spans="1:1" ht="14.25" customHeight="1">
      <c r="A715" s="11"/>
    </row>
    <row r="716" spans="1:1" ht="14.25" customHeight="1">
      <c r="A716" s="11"/>
    </row>
    <row r="717" spans="1:1" ht="14.25" customHeight="1">
      <c r="A717" s="11"/>
    </row>
    <row r="718" spans="1:1" ht="14.25" customHeight="1">
      <c r="A718" s="11"/>
    </row>
    <row r="719" spans="1:1" ht="14.25" customHeight="1">
      <c r="A719" s="11"/>
    </row>
    <row r="720" spans="1:1" ht="14.25" customHeight="1">
      <c r="A720" s="11"/>
    </row>
    <row r="721" spans="1:1" ht="14.25" customHeight="1">
      <c r="A721" s="11"/>
    </row>
    <row r="722" spans="1:1" ht="14.25" customHeight="1">
      <c r="A722" s="11"/>
    </row>
    <row r="723" spans="1:1" ht="14.25" customHeight="1">
      <c r="A723" s="11"/>
    </row>
    <row r="724" spans="1:1" ht="14.25" customHeight="1">
      <c r="A724" s="11"/>
    </row>
    <row r="725" spans="1:1" ht="14.25" customHeight="1">
      <c r="A725" s="11"/>
    </row>
    <row r="726" spans="1:1" ht="14.25" customHeight="1">
      <c r="A726" s="11"/>
    </row>
    <row r="727" spans="1:1" ht="14.25" customHeight="1">
      <c r="A727" s="11"/>
    </row>
    <row r="728" spans="1:1" ht="14.25" customHeight="1">
      <c r="A728" s="11"/>
    </row>
    <row r="729" spans="1:1" ht="14.25" customHeight="1">
      <c r="A729" s="11"/>
    </row>
    <row r="730" spans="1:1" ht="14.25" customHeight="1">
      <c r="A730" s="11"/>
    </row>
    <row r="731" spans="1:1" ht="14.25" customHeight="1">
      <c r="A731" s="11"/>
    </row>
    <row r="732" spans="1:1" ht="14.25" customHeight="1">
      <c r="A732" s="11"/>
    </row>
    <row r="733" spans="1:1" ht="14.25" customHeight="1">
      <c r="A733" s="11"/>
    </row>
    <row r="734" spans="1:1" ht="14.25" customHeight="1">
      <c r="A734" s="11"/>
    </row>
    <row r="735" spans="1:1" ht="14.25" customHeight="1">
      <c r="A735" s="11"/>
    </row>
    <row r="736" spans="1:1" ht="14.25" customHeight="1">
      <c r="A736" s="11"/>
    </row>
    <row r="737" spans="1:1" ht="14.25" customHeight="1">
      <c r="A737" s="11"/>
    </row>
    <row r="738" spans="1:1" ht="14.25" customHeight="1">
      <c r="A738" s="11"/>
    </row>
    <row r="739" spans="1:1" ht="14.25" customHeight="1">
      <c r="A739" s="11"/>
    </row>
    <row r="740" spans="1:1" ht="14.25" customHeight="1">
      <c r="A740" s="11"/>
    </row>
    <row r="741" spans="1:1" ht="14.25" customHeight="1">
      <c r="A741" s="11"/>
    </row>
    <row r="742" spans="1:1" ht="14.25" customHeight="1">
      <c r="A742" s="11"/>
    </row>
    <row r="743" spans="1:1" ht="14.25" customHeight="1">
      <c r="A743" s="11"/>
    </row>
    <row r="744" spans="1:1" ht="14.25" customHeight="1">
      <c r="A744" s="11"/>
    </row>
    <row r="745" spans="1:1" ht="14.25" customHeight="1">
      <c r="A745" s="11"/>
    </row>
    <row r="746" spans="1:1" ht="14.25" customHeight="1">
      <c r="A746" s="11"/>
    </row>
    <row r="747" spans="1:1" ht="14.25" customHeight="1">
      <c r="A747" s="11"/>
    </row>
    <row r="748" spans="1:1" ht="14.25" customHeight="1">
      <c r="A748" s="11"/>
    </row>
    <row r="749" spans="1:1" ht="14.25" customHeight="1">
      <c r="A749" s="11"/>
    </row>
    <row r="750" spans="1:1" ht="14.25" customHeight="1">
      <c r="A750" s="11"/>
    </row>
    <row r="751" spans="1:1" ht="14.25" customHeight="1">
      <c r="A751" s="11"/>
    </row>
    <row r="752" spans="1:1" ht="14.25" customHeight="1">
      <c r="A752" s="11"/>
    </row>
    <row r="753" spans="1:1" ht="14.25" customHeight="1">
      <c r="A753" s="11"/>
    </row>
    <row r="754" spans="1:1" ht="14.25" customHeight="1">
      <c r="A754" s="11"/>
    </row>
    <row r="755" spans="1:1" ht="14.25" customHeight="1">
      <c r="A755" s="11"/>
    </row>
    <row r="756" spans="1:1" ht="14.25" customHeight="1">
      <c r="A756" s="11"/>
    </row>
    <row r="757" spans="1:1" ht="14.25" customHeight="1">
      <c r="A757" s="11"/>
    </row>
    <row r="758" spans="1:1" ht="14.25" customHeight="1">
      <c r="A758" s="11"/>
    </row>
    <row r="759" spans="1:1" ht="14.25" customHeight="1">
      <c r="A759" s="11"/>
    </row>
    <row r="760" spans="1:1" ht="14.25" customHeight="1">
      <c r="A760" s="11"/>
    </row>
    <row r="761" spans="1:1" ht="14.25" customHeight="1">
      <c r="A761" s="11"/>
    </row>
    <row r="762" spans="1:1" ht="14.25" customHeight="1">
      <c r="A762" s="11"/>
    </row>
    <row r="763" spans="1:1" ht="14.25" customHeight="1">
      <c r="A763" s="11"/>
    </row>
    <row r="764" spans="1:1" ht="14.25" customHeight="1">
      <c r="A764" s="11"/>
    </row>
    <row r="765" spans="1:1" ht="14.25" customHeight="1">
      <c r="A765" s="11"/>
    </row>
    <row r="766" spans="1:1" ht="14.25" customHeight="1">
      <c r="A766" s="11"/>
    </row>
    <row r="767" spans="1:1" ht="14.25" customHeight="1">
      <c r="A767" s="11"/>
    </row>
    <row r="768" spans="1:1" ht="14.25" customHeight="1">
      <c r="A768" s="11"/>
    </row>
    <row r="769" spans="1:1" ht="14.25" customHeight="1">
      <c r="A769" s="11"/>
    </row>
    <row r="770" spans="1:1" ht="14.25" customHeight="1">
      <c r="A770" s="11"/>
    </row>
    <row r="771" spans="1:1" ht="14.25" customHeight="1">
      <c r="A771" s="11"/>
    </row>
    <row r="772" spans="1:1" ht="14.25" customHeight="1">
      <c r="A772" s="11"/>
    </row>
    <row r="773" spans="1:1" ht="14.25" customHeight="1">
      <c r="A773" s="11"/>
    </row>
    <row r="774" spans="1:1" ht="14.25" customHeight="1">
      <c r="A774" s="11"/>
    </row>
    <row r="775" spans="1:1" ht="14.25" customHeight="1">
      <c r="A775" s="11"/>
    </row>
    <row r="776" spans="1:1" ht="14.25" customHeight="1">
      <c r="A776" s="11"/>
    </row>
    <row r="777" spans="1:1" ht="14.25" customHeight="1">
      <c r="A777" s="11"/>
    </row>
    <row r="778" spans="1:1" ht="14.25" customHeight="1">
      <c r="A778" s="11"/>
    </row>
    <row r="779" spans="1:1" ht="14.25" customHeight="1">
      <c r="A779" s="11"/>
    </row>
    <row r="780" spans="1:1" ht="14.25" customHeight="1">
      <c r="A780" s="11"/>
    </row>
    <row r="781" spans="1:1" ht="14.25" customHeight="1">
      <c r="A781" s="11"/>
    </row>
    <row r="782" spans="1:1" ht="14.25" customHeight="1">
      <c r="A782" s="11"/>
    </row>
    <row r="783" spans="1:1" ht="14.25" customHeight="1">
      <c r="A783" s="11"/>
    </row>
    <row r="784" spans="1:1" ht="14.25" customHeight="1">
      <c r="A784" s="11"/>
    </row>
    <row r="785" spans="1:1" ht="14.25" customHeight="1">
      <c r="A785" s="11"/>
    </row>
    <row r="786" spans="1:1" ht="14.25" customHeight="1">
      <c r="A786" s="11"/>
    </row>
    <row r="787" spans="1:1" ht="14.25" customHeight="1">
      <c r="A787" s="11"/>
    </row>
    <row r="788" spans="1:1" ht="14.25" customHeight="1">
      <c r="A788" s="11"/>
    </row>
    <row r="789" spans="1:1" ht="14.25" customHeight="1">
      <c r="A789" s="11"/>
    </row>
    <row r="790" spans="1:1" ht="14.25" customHeight="1">
      <c r="A790" s="11"/>
    </row>
    <row r="791" spans="1:1" ht="14.25" customHeight="1">
      <c r="A791" s="11"/>
    </row>
    <row r="792" spans="1:1" ht="14.25" customHeight="1">
      <c r="A792" s="11"/>
    </row>
    <row r="793" spans="1:1" ht="14.25" customHeight="1">
      <c r="A793" s="11"/>
    </row>
    <row r="794" spans="1:1" ht="14.25" customHeight="1">
      <c r="A794" s="11"/>
    </row>
    <row r="795" spans="1:1" ht="14.25" customHeight="1">
      <c r="A795" s="11"/>
    </row>
    <row r="796" spans="1:1" ht="14.25" customHeight="1">
      <c r="A796" s="11"/>
    </row>
    <row r="797" spans="1:1" ht="14.25" customHeight="1">
      <c r="A797" s="11"/>
    </row>
    <row r="798" spans="1:1" ht="14.25" customHeight="1">
      <c r="A798" s="11"/>
    </row>
    <row r="799" spans="1:1" ht="14.25" customHeight="1">
      <c r="A799" s="11"/>
    </row>
    <row r="800" spans="1:1" ht="14.25" customHeight="1">
      <c r="A800" s="11"/>
    </row>
    <row r="801" spans="1:1" ht="14.25" customHeight="1">
      <c r="A801" s="11"/>
    </row>
    <row r="802" spans="1:1" ht="14.25" customHeight="1">
      <c r="A802" s="11"/>
    </row>
    <row r="803" spans="1:1" ht="14.25" customHeight="1">
      <c r="A803" s="11"/>
    </row>
    <row r="804" spans="1:1" ht="14.25" customHeight="1">
      <c r="A804" s="11"/>
    </row>
    <row r="805" spans="1:1" ht="14.25" customHeight="1">
      <c r="A805" s="11"/>
    </row>
    <row r="806" spans="1:1" ht="14.25" customHeight="1">
      <c r="A806" s="11"/>
    </row>
    <row r="807" spans="1:1" ht="14.25" customHeight="1">
      <c r="A807" s="11"/>
    </row>
    <row r="808" spans="1:1" ht="14.25" customHeight="1">
      <c r="A808" s="11"/>
    </row>
    <row r="809" spans="1:1" ht="14.25" customHeight="1">
      <c r="A809" s="11"/>
    </row>
    <row r="810" spans="1:1" ht="14.25" customHeight="1">
      <c r="A810" s="11"/>
    </row>
    <row r="811" spans="1:1" ht="14.25" customHeight="1">
      <c r="A811" s="11"/>
    </row>
    <row r="812" spans="1:1" ht="14.25" customHeight="1">
      <c r="A812" s="11"/>
    </row>
    <row r="813" spans="1:1" ht="14.25" customHeight="1">
      <c r="A813" s="11"/>
    </row>
    <row r="814" spans="1:1" ht="14.25" customHeight="1">
      <c r="A814" s="11"/>
    </row>
    <row r="815" spans="1:1" ht="14.25" customHeight="1">
      <c r="A815" s="11"/>
    </row>
    <row r="816" spans="1:1" ht="14.25" customHeight="1">
      <c r="A816" s="11"/>
    </row>
    <row r="817" spans="1:1" ht="14.25" customHeight="1">
      <c r="A817" s="11"/>
    </row>
    <row r="818" spans="1:1" ht="14.25" customHeight="1">
      <c r="A818" s="11"/>
    </row>
    <row r="819" spans="1:1" ht="14.25" customHeight="1">
      <c r="A819" s="11"/>
    </row>
    <row r="820" spans="1:1" ht="14.25" customHeight="1">
      <c r="A820" s="11"/>
    </row>
    <row r="821" spans="1:1" ht="14.25" customHeight="1">
      <c r="A821" s="11"/>
    </row>
    <row r="822" spans="1:1" ht="14.25" customHeight="1">
      <c r="A822" s="11"/>
    </row>
    <row r="823" spans="1:1" ht="14.25" customHeight="1">
      <c r="A823" s="11"/>
    </row>
    <row r="824" spans="1:1" ht="14.25" customHeight="1">
      <c r="A824" s="11"/>
    </row>
    <row r="825" spans="1:1" ht="14.25" customHeight="1">
      <c r="A825" s="11"/>
    </row>
    <row r="826" spans="1:1" ht="14.25" customHeight="1">
      <c r="A826" s="11"/>
    </row>
    <row r="827" spans="1:1" ht="14.25" customHeight="1">
      <c r="A827" s="11"/>
    </row>
    <row r="828" spans="1:1" ht="14.25" customHeight="1">
      <c r="A828" s="11"/>
    </row>
    <row r="829" spans="1:1" ht="14.25" customHeight="1">
      <c r="A829" s="11"/>
    </row>
    <row r="830" spans="1:1" ht="14.25" customHeight="1">
      <c r="A830" s="11"/>
    </row>
    <row r="831" spans="1:1" ht="14.25" customHeight="1">
      <c r="A831" s="11"/>
    </row>
    <row r="832" spans="1:1" ht="14.25" customHeight="1">
      <c r="A832" s="11"/>
    </row>
    <row r="833" spans="1:1" ht="14.25" customHeight="1">
      <c r="A833" s="11"/>
    </row>
    <row r="834" spans="1:1" ht="14.25" customHeight="1">
      <c r="A834" s="11"/>
    </row>
    <row r="835" spans="1:1" ht="14.25" customHeight="1">
      <c r="A835" s="11"/>
    </row>
    <row r="836" spans="1:1" ht="14.25" customHeight="1">
      <c r="A836" s="11"/>
    </row>
    <row r="837" spans="1:1" ht="14.25" customHeight="1">
      <c r="A837" s="11"/>
    </row>
    <row r="838" spans="1:1" ht="14.25" customHeight="1">
      <c r="A838" s="11"/>
    </row>
    <row r="839" spans="1:1" ht="14.25" customHeight="1">
      <c r="A839" s="11"/>
    </row>
    <row r="840" spans="1:1" ht="14.25" customHeight="1">
      <c r="A840" s="11"/>
    </row>
    <row r="841" spans="1:1" ht="14.25" customHeight="1">
      <c r="A841" s="11"/>
    </row>
    <row r="842" spans="1:1" ht="14.25" customHeight="1">
      <c r="A842" s="11"/>
    </row>
    <row r="843" spans="1:1" ht="14.25" customHeight="1">
      <c r="A843" s="11"/>
    </row>
    <row r="844" spans="1:1" ht="14.25" customHeight="1">
      <c r="A844" s="11"/>
    </row>
    <row r="845" spans="1:1" ht="14.25" customHeight="1">
      <c r="A845" s="11"/>
    </row>
    <row r="846" spans="1:1" ht="14.25" customHeight="1">
      <c r="A846" s="11"/>
    </row>
    <row r="847" spans="1:1" ht="14.25" customHeight="1">
      <c r="A847" s="11"/>
    </row>
    <row r="848" spans="1:1" ht="14.25" customHeight="1">
      <c r="A848" s="11"/>
    </row>
    <row r="849" spans="1:1" ht="14.25" customHeight="1">
      <c r="A849" s="11"/>
    </row>
    <row r="850" spans="1:1" ht="14.25" customHeight="1">
      <c r="A850" s="11"/>
    </row>
    <row r="851" spans="1:1" ht="14.25" customHeight="1">
      <c r="A851" s="11"/>
    </row>
    <row r="852" spans="1:1" ht="14.25" customHeight="1">
      <c r="A852" s="11"/>
    </row>
    <row r="853" spans="1:1" ht="14.25" customHeight="1">
      <c r="A853" s="11"/>
    </row>
    <row r="854" spans="1:1" ht="14.25" customHeight="1">
      <c r="A854" s="11"/>
    </row>
    <row r="855" spans="1:1" ht="14.25" customHeight="1">
      <c r="A855" s="11"/>
    </row>
    <row r="856" spans="1:1" ht="14.25" customHeight="1">
      <c r="A856" s="11"/>
    </row>
    <row r="857" spans="1:1" ht="14.25" customHeight="1">
      <c r="A857" s="11"/>
    </row>
    <row r="858" spans="1:1" ht="14.25" customHeight="1">
      <c r="A858" s="11"/>
    </row>
    <row r="859" spans="1:1" ht="14.25" customHeight="1">
      <c r="A859" s="11"/>
    </row>
    <row r="860" spans="1:1" ht="14.25" customHeight="1">
      <c r="A860" s="11"/>
    </row>
    <row r="861" spans="1:1" ht="14.25" customHeight="1">
      <c r="A861" s="11"/>
    </row>
    <row r="862" spans="1:1" ht="14.25" customHeight="1">
      <c r="A862" s="11"/>
    </row>
    <row r="863" spans="1:1" ht="14.25" customHeight="1">
      <c r="A863" s="11"/>
    </row>
    <row r="864" spans="1:1" ht="14.25" customHeight="1">
      <c r="A864" s="11"/>
    </row>
    <row r="865" spans="1:1" ht="14.25" customHeight="1">
      <c r="A865" s="11"/>
    </row>
    <row r="866" spans="1:1" ht="14.25" customHeight="1">
      <c r="A866" s="11"/>
    </row>
    <row r="867" spans="1:1" ht="14.25" customHeight="1">
      <c r="A867" s="11"/>
    </row>
    <row r="868" spans="1:1" ht="14.25" customHeight="1">
      <c r="A868" s="11"/>
    </row>
    <row r="869" spans="1:1" ht="14.25" customHeight="1">
      <c r="A869" s="11"/>
    </row>
    <row r="870" spans="1:1" ht="14.25" customHeight="1">
      <c r="A870" s="11"/>
    </row>
    <row r="871" spans="1:1" ht="14.25" customHeight="1">
      <c r="A871" s="11"/>
    </row>
    <row r="872" spans="1:1" ht="14.25" customHeight="1">
      <c r="A872" s="11"/>
    </row>
    <row r="873" spans="1:1" ht="14.25" customHeight="1">
      <c r="A873" s="11"/>
    </row>
    <row r="874" spans="1:1" ht="14.25" customHeight="1">
      <c r="A874" s="11"/>
    </row>
    <row r="875" spans="1:1" ht="14.25" customHeight="1">
      <c r="A875" s="11"/>
    </row>
    <row r="876" spans="1:1" ht="14.25" customHeight="1">
      <c r="A876" s="11"/>
    </row>
    <row r="877" spans="1:1" ht="14.25" customHeight="1">
      <c r="A877" s="11"/>
    </row>
    <row r="878" spans="1:1" ht="14.25" customHeight="1">
      <c r="A878" s="11"/>
    </row>
    <row r="879" spans="1:1" ht="14.25" customHeight="1">
      <c r="A879" s="11"/>
    </row>
    <row r="880" spans="1:1" ht="14.25" customHeight="1">
      <c r="A880" s="11"/>
    </row>
    <row r="881" spans="1:1" ht="14.25" customHeight="1">
      <c r="A881" s="11"/>
    </row>
    <row r="882" spans="1:1" ht="14.25" customHeight="1">
      <c r="A882" s="11"/>
    </row>
    <row r="883" spans="1:1" ht="14.25" customHeight="1">
      <c r="A883" s="11"/>
    </row>
    <row r="884" spans="1:1" ht="14.25" customHeight="1">
      <c r="A884" s="11"/>
    </row>
    <row r="885" spans="1:1" ht="14.25" customHeight="1">
      <c r="A885" s="11"/>
    </row>
    <row r="886" spans="1:1" ht="14.25" customHeight="1">
      <c r="A886" s="11"/>
    </row>
    <row r="887" spans="1:1" ht="14.25" customHeight="1">
      <c r="A887" s="11"/>
    </row>
    <row r="888" spans="1:1" ht="14.25" customHeight="1">
      <c r="A888" s="11"/>
    </row>
    <row r="889" spans="1:1" ht="14.25" customHeight="1">
      <c r="A889" s="11"/>
    </row>
    <row r="890" spans="1:1" ht="14.25" customHeight="1">
      <c r="A890" s="11"/>
    </row>
    <row r="891" spans="1:1" ht="14.25" customHeight="1">
      <c r="A891" s="11"/>
    </row>
    <row r="892" spans="1:1" ht="14.25" customHeight="1">
      <c r="A892" s="11"/>
    </row>
    <row r="893" spans="1:1" ht="14.25" customHeight="1">
      <c r="A893" s="11"/>
    </row>
    <row r="894" spans="1:1" ht="14.25" customHeight="1">
      <c r="A894" s="11"/>
    </row>
    <row r="895" spans="1:1" ht="14.25" customHeight="1">
      <c r="A895" s="11"/>
    </row>
    <row r="896" spans="1:1" ht="14.25" customHeight="1">
      <c r="A896" s="11"/>
    </row>
    <row r="897" spans="1:1" ht="14.25" customHeight="1">
      <c r="A897" s="11"/>
    </row>
    <row r="898" spans="1:1" ht="14.25" customHeight="1">
      <c r="A898" s="11"/>
    </row>
    <row r="899" spans="1:1" ht="14.25" customHeight="1">
      <c r="A899" s="11"/>
    </row>
    <row r="900" spans="1:1" ht="14.25" customHeight="1">
      <c r="A900" s="11"/>
    </row>
    <row r="901" spans="1:1" ht="14.25" customHeight="1">
      <c r="A901" s="11"/>
    </row>
    <row r="902" spans="1:1" ht="14.25" customHeight="1">
      <c r="A902" s="11"/>
    </row>
    <row r="903" spans="1:1" ht="14.25" customHeight="1">
      <c r="A903" s="11"/>
    </row>
    <row r="904" spans="1:1" ht="14.25" customHeight="1">
      <c r="A904" s="11"/>
    </row>
    <row r="905" spans="1:1" ht="14.25" customHeight="1">
      <c r="A905" s="11"/>
    </row>
    <row r="906" spans="1:1" ht="14.25" customHeight="1">
      <c r="A906" s="11"/>
    </row>
    <row r="907" spans="1:1" ht="14.25" customHeight="1">
      <c r="A907" s="11"/>
    </row>
    <row r="908" spans="1:1" ht="14.25" customHeight="1">
      <c r="A908" s="11"/>
    </row>
    <row r="909" spans="1:1" ht="14.25" customHeight="1">
      <c r="A909" s="11"/>
    </row>
    <row r="910" spans="1:1" ht="14.25" customHeight="1">
      <c r="A910" s="11"/>
    </row>
    <row r="911" spans="1:1" ht="14.25" customHeight="1">
      <c r="A911" s="11"/>
    </row>
    <row r="912" spans="1:1" ht="14.25" customHeight="1">
      <c r="A912" s="11"/>
    </row>
    <row r="913" spans="1:1" ht="14.25" customHeight="1">
      <c r="A913" s="11"/>
    </row>
    <row r="914" spans="1:1" ht="14.25" customHeight="1">
      <c r="A914" s="11"/>
    </row>
    <row r="915" spans="1:1" ht="14.25" customHeight="1">
      <c r="A915" s="11"/>
    </row>
    <row r="916" spans="1:1" ht="14.25" customHeight="1">
      <c r="A916" s="11"/>
    </row>
    <row r="917" spans="1:1" ht="14.25" customHeight="1">
      <c r="A917" s="11"/>
    </row>
    <row r="918" spans="1:1" ht="14.25" customHeight="1">
      <c r="A918" s="11"/>
    </row>
    <row r="919" spans="1:1" ht="14.25" customHeight="1">
      <c r="A919" s="11"/>
    </row>
    <row r="920" spans="1:1" ht="14.25" customHeight="1">
      <c r="A920" s="11"/>
    </row>
    <row r="921" spans="1:1" ht="14.25" customHeight="1">
      <c r="A921" s="11"/>
    </row>
    <row r="922" spans="1:1" ht="14.25" customHeight="1">
      <c r="A922" s="11"/>
    </row>
    <row r="923" spans="1:1" ht="14.25" customHeight="1">
      <c r="A923" s="11"/>
    </row>
    <row r="924" spans="1:1" ht="14.25" customHeight="1">
      <c r="A924" s="11"/>
    </row>
    <row r="925" spans="1:1" ht="14.25" customHeight="1">
      <c r="A925" s="11"/>
    </row>
    <row r="926" spans="1:1" ht="14.25" customHeight="1">
      <c r="A926" s="11"/>
    </row>
    <row r="927" spans="1:1" ht="14.25" customHeight="1">
      <c r="A927" s="11"/>
    </row>
    <row r="928" spans="1:1" ht="14.25" customHeight="1">
      <c r="A928" s="11"/>
    </row>
    <row r="929" spans="1:1" ht="14.25" customHeight="1">
      <c r="A929" s="11"/>
    </row>
    <row r="930" spans="1:1" ht="14.25" customHeight="1">
      <c r="A930" s="11"/>
    </row>
    <row r="931" spans="1:1" ht="14.25" customHeight="1">
      <c r="A931" s="11"/>
    </row>
    <row r="932" spans="1:1" ht="14.25" customHeight="1">
      <c r="A932" s="11"/>
    </row>
    <row r="933" spans="1:1" ht="14.25" customHeight="1">
      <c r="A933" s="11"/>
    </row>
    <row r="934" spans="1:1" ht="14.25" customHeight="1">
      <c r="A934" s="11"/>
    </row>
    <row r="935" spans="1:1" ht="14.25" customHeight="1">
      <c r="A935" s="11"/>
    </row>
    <row r="936" spans="1:1" ht="14.25" customHeight="1">
      <c r="A936" s="11"/>
    </row>
    <row r="937" spans="1:1" ht="14.25" customHeight="1">
      <c r="A937" s="11"/>
    </row>
    <row r="938" spans="1:1" ht="14.25" customHeight="1">
      <c r="A938" s="11"/>
    </row>
    <row r="939" spans="1:1" ht="14.25" customHeight="1">
      <c r="A939" s="11"/>
    </row>
    <row r="940" spans="1:1" ht="14.25" customHeight="1">
      <c r="A940" s="11"/>
    </row>
    <row r="941" spans="1:1" ht="14.25" customHeight="1">
      <c r="A941" s="11"/>
    </row>
    <row r="942" spans="1:1" ht="14.25" customHeight="1">
      <c r="A942" s="11"/>
    </row>
    <row r="943" spans="1:1" ht="14.25" customHeight="1">
      <c r="A943" s="11"/>
    </row>
    <row r="944" spans="1:1" ht="14.25" customHeight="1">
      <c r="A944" s="11"/>
    </row>
    <row r="945" spans="1:1" ht="14.25" customHeight="1">
      <c r="A945" s="11"/>
    </row>
    <row r="946" spans="1:1" ht="14.25" customHeight="1">
      <c r="A946" s="11"/>
    </row>
    <row r="947" spans="1:1" ht="14.25" customHeight="1">
      <c r="A947" s="11"/>
    </row>
    <row r="948" spans="1:1" ht="14.25" customHeight="1">
      <c r="A948" s="11"/>
    </row>
    <row r="949" spans="1:1" ht="14.25" customHeight="1">
      <c r="A949" s="11"/>
    </row>
    <row r="950" spans="1:1" ht="14.25" customHeight="1">
      <c r="A950" s="11"/>
    </row>
    <row r="951" spans="1:1" ht="14.25" customHeight="1">
      <c r="A951" s="11"/>
    </row>
    <row r="952" spans="1:1" ht="14.25" customHeight="1">
      <c r="A952" s="11"/>
    </row>
    <row r="953" spans="1:1" ht="14.25" customHeight="1">
      <c r="A953" s="11"/>
    </row>
    <row r="954" spans="1:1" ht="14.25" customHeight="1">
      <c r="A954" s="11"/>
    </row>
    <row r="955" spans="1:1" ht="14.25" customHeight="1">
      <c r="A955" s="11"/>
    </row>
    <row r="956" spans="1:1" ht="14.25" customHeight="1">
      <c r="A956" s="11"/>
    </row>
    <row r="957" spans="1:1" ht="14.25" customHeight="1">
      <c r="A957" s="11"/>
    </row>
    <row r="958" spans="1:1" ht="14.25" customHeight="1">
      <c r="A958" s="11"/>
    </row>
    <row r="959" spans="1:1" ht="14.25" customHeight="1">
      <c r="A959" s="11"/>
    </row>
    <row r="960" spans="1:1" ht="14.25" customHeight="1">
      <c r="A960" s="11"/>
    </row>
    <row r="961" spans="1:1" ht="14.25" customHeight="1">
      <c r="A961" s="11"/>
    </row>
    <row r="962" spans="1:1" ht="14.25" customHeight="1">
      <c r="A962" s="11"/>
    </row>
    <row r="963" spans="1:1" ht="14.25" customHeight="1">
      <c r="A963" s="11"/>
    </row>
    <row r="964" spans="1:1" ht="14.25" customHeight="1">
      <c r="A964" s="11"/>
    </row>
    <row r="965" spans="1:1" ht="14.25" customHeight="1">
      <c r="A965" s="11"/>
    </row>
    <row r="966" spans="1:1" ht="14.25" customHeight="1">
      <c r="A966" s="11"/>
    </row>
    <row r="967" spans="1:1" ht="14.25" customHeight="1">
      <c r="A967" s="11"/>
    </row>
    <row r="968" spans="1:1" ht="14.25" customHeight="1">
      <c r="A968" s="11"/>
    </row>
    <row r="969" spans="1:1" ht="14.25" customHeight="1">
      <c r="A969" s="11"/>
    </row>
    <row r="970" spans="1:1" ht="14.25" customHeight="1">
      <c r="A970" s="11"/>
    </row>
    <row r="971" spans="1:1" ht="14.25" customHeight="1">
      <c r="A971" s="11"/>
    </row>
    <row r="972" spans="1:1" ht="14.25" customHeight="1">
      <c r="A972" s="11"/>
    </row>
    <row r="973" spans="1:1" ht="14.25" customHeight="1">
      <c r="A973" s="11"/>
    </row>
    <row r="974" spans="1:1" ht="14.25" customHeight="1">
      <c r="A974" s="11"/>
    </row>
    <row r="975" spans="1:1" ht="14.25" customHeight="1">
      <c r="A975" s="11"/>
    </row>
    <row r="976" spans="1:1" ht="14.25" customHeight="1">
      <c r="A976" s="11"/>
    </row>
    <row r="977" spans="1:1" ht="14.25" customHeight="1">
      <c r="A977" s="11"/>
    </row>
    <row r="978" spans="1:1" ht="14.25" customHeight="1">
      <c r="A978" s="11"/>
    </row>
    <row r="979" spans="1:1" ht="14.25" customHeight="1">
      <c r="A979" s="11"/>
    </row>
    <row r="980" spans="1:1" ht="14.25" customHeight="1">
      <c r="A980" s="11"/>
    </row>
    <row r="981" spans="1:1" ht="14.25" customHeight="1">
      <c r="A981" s="11"/>
    </row>
    <row r="982" spans="1:1" ht="14.25" customHeight="1">
      <c r="A982" s="11"/>
    </row>
    <row r="983" spans="1:1" ht="14.25" customHeight="1">
      <c r="A983" s="11"/>
    </row>
    <row r="984" spans="1:1" ht="14.25" customHeight="1">
      <c r="A984" s="11"/>
    </row>
    <row r="985" spans="1:1" ht="14.25" customHeight="1">
      <c r="A985" s="11"/>
    </row>
    <row r="986" spans="1:1" ht="14.25" customHeight="1">
      <c r="A986" s="11"/>
    </row>
    <row r="987" spans="1:1" ht="14.25" customHeight="1">
      <c r="A987" s="11"/>
    </row>
    <row r="988" spans="1:1" ht="14.25" customHeight="1">
      <c r="A988" s="11"/>
    </row>
    <row r="989" spans="1:1" ht="14.25" customHeight="1">
      <c r="A989" s="11"/>
    </row>
    <row r="990" spans="1:1" ht="14.25" customHeight="1">
      <c r="A990" s="11"/>
    </row>
    <row r="991" spans="1:1" ht="14.25" customHeight="1">
      <c r="A991" s="11"/>
    </row>
    <row r="992" spans="1:1" ht="14.25" customHeight="1">
      <c r="A992" s="11"/>
    </row>
    <row r="993" spans="1:1" ht="14.25" customHeight="1">
      <c r="A993" s="11"/>
    </row>
    <row r="994" spans="1:1" ht="14.25" customHeight="1">
      <c r="A994" s="11"/>
    </row>
    <row r="995" spans="1:1" ht="14.25" customHeight="1">
      <c r="A995" s="11"/>
    </row>
    <row r="996" spans="1:1" ht="14.25" customHeight="1">
      <c r="A996" s="11"/>
    </row>
    <row r="997" spans="1:1" ht="14.25" customHeight="1">
      <c r="A997" s="11"/>
    </row>
    <row r="998" spans="1:1" ht="14.25" customHeight="1">
      <c r="A998" s="11"/>
    </row>
    <row r="999" spans="1:1" ht="14.25" customHeight="1">
      <c r="A999" s="11"/>
    </row>
    <row r="1000" spans="1:1" ht="14.25" customHeight="1">
      <c r="A1000" s="11"/>
    </row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"/>
  <sheetViews>
    <sheetView workbookViewId="0">
      <selection activeCell="B13" sqref="B13"/>
    </sheetView>
  </sheetViews>
  <sheetFormatPr defaultColWidth="14.453125" defaultRowHeight="15" customHeight="1"/>
  <cols>
    <col min="1" max="1" width="5.453125" customWidth="1"/>
    <col min="2" max="2" width="58.26953125" customWidth="1"/>
    <col min="3" max="3" width="23.7265625" customWidth="1"/>
    <col min="4" max="4" width="84" customWidth="1"/>
    <col min="5" max="5" width="79" customWidth="1"/>
  </cols>
  <sheetData>
    <row r="1" spans="1:26">
      <c r="A1" s="12" t="s">
        <v>524</v>
      </c>
      <c r="B1" s="12" t="s">
        <v>525</v>
      </c>
      <c r="C1" s="12" t="s">
        <v>526</v>
      </c>
      <c r="D1" s="12" t="s">
        <v>527</v>
      </c>
      <c r="E1" s="12" t="s">
        <v>528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4">
        <v>1</v>
      </c>
      <c r="B2" s="4" t="s">
        <v>529</v>
      </c>
      <c r="C2" s="4" t="s">
        <v>530</v>
      </c>
      <c r="D2" s="4" t="s">
        <v>531</v>
      </c>
      <c r="E2" s="4" t="s">
        <v>532</v>
      </c>
    </row>
    <row r="3" spans="1:26">
      <c r="A3" s="4">
        <v>2</v>
      </c>
      <c r="B3" s="4" t="s">
        <v>533</v>
      </c>
      <c r="C3" s="4" t="s">
        <v>534</v>
      </c>
      <c r="D3" s="4" t="s">
        <v>535</v>
      </c>
      <c r="E3" s="4" t="s">
        <v>536</v>
      </c>
    </row>
    <row r="4" spans="1:26">
      <c r="A4" s="4">
        <v>3</v>
      </c>
      <c r="B4" s="4" t="s">
        <v>537</v>
      </c>
      <c r="C4" s="4" t="s">
        <v>538</v>
      </c>
      <c r="D4" s="4" t="s">
        <v>539</v>
      </c>
      <c r="E4" s="4" t="s">
        <v>540</v>
      </c>
    </row>
    <row r="5" spans="1:26">
      <c r="A5" s="4">
        <v>4</v>
      </c>
      <c r="B5" s="4" t="s">
        <v>541</v>
      </c>
      <c r="C5" s="4" t="s">
        <v>542</v>
      </c>
      <c r="D5" s="4" t="s">
        <v>543</v>
      </c>
      <c r="E5" s="4" t="s">
        <v>544</v>
      </c>
    </row>
    <row r="6" spans="1:26">
      <c r="A6" s="4">
        <v>5</v>
      </c>
      <c r="B6" s="4" t="s">
        <v>545</v>
      </c>
      <c r="C6" s="14" t="s">
        <v>546</v>
      </c>
      <c r="D6" s="4" t="s">
        <v>547</v>
      </c>
      <c r="E6" s="4" t="s">
        <v>548</v>
      </c>
    </row>
    <row r="7" spans="1:26">
      <c r="A7" s="4">
        <v>6</v>
      </c>
      <c r="B7" s="4" t="s">
        <v>549</v>
      </c>
      <c r="C7" s="4" t="s">
        <v>550</v>
      </c>
      <c r="D7" s="4" t="s">
        <v>551</v>
      </c>
      <c r="E7" s="4" t="s">
        <v>552</v>
      </c>
    </row>
    <row r="8" spans="1:26">
      <c r="A8" s="4">
        <v>7</v>
      </c>
      <c r="B8" s="4" t="s">
        <v>553</v>
      </c>
      <c r="C8" s="4" t="s">
        <v>554</v>
      </c>
      <c r="D8" s="4" t="s">
        <v>555</v>
      </c>
      <c r="E8" s="4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Raw_Data Cleanning</vt:lpstr>
      <vt:lpstr>Log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Malemba Laurent</cp:lastModifiedBy>
  <dcterms:modified xsi:type="dcterms:W3CDTF">2025-11-05T06:35:53Z</dcterms:modified>
</cp:coreProperties>
</file>