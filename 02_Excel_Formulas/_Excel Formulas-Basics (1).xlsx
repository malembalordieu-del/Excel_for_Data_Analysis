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" sheetId="1" r:id="rId4"/>
    <sheet state="visible" name="AVERAGE" sheetId="2" r:id="rId5"/>
    <sheet state="visible" name="COUNT" sheetId="3" r:id="rId6"/>
    <sheet state="visible" name="COUNT A" sheetId="4" r:id="rId7"/>
    <sheet state="visible" name=" COUNTBLANK" sheetId="5" r:id="rId8"/>
    <sheet state="visible" name="MIN" sheetId="6" r:id="rId9"/>
    <sheet state="visible" name="MAX" sheetId="7" r:id="rId10"/>
    <sheet state="visible" name="LEN" sheetId="8" r:id="rId11"/>
    <sheet state="visible" name="TRIM" sheetId="9" r:id="rId12"/>
  </sheets>
  <definedNames/>
  <calcPr/>
  <extLst>
    <ext uri="GoogleSheetsCustomDataVersion2">
      <go:sheetsCustomData xmlns:go="http://customooxmlschemas.google.com/" r:id="rId13" roundtripDataChecksum="TZKLbIfpGQ+UvjysNgT+xoXJA2b+ogqxDiMSGPgvzQs="/>
    </ext>
  </extLst>
</workbook>
</file>

<file path=xl/sharedStrings.xml><?xml version="1.0" encoding="utf-8"?>
<sst xmlns="http://schemas.openxmlformats.org/spreadsheetml/2006/main" count="644" uniqueCount="65">
  <si>
    <t>Date</t>
  </si>
  <si>
    <t>Region</t>
  </si>
  <si>
    <t>Salesperson</t>
  </si>
  <si>
    <t>Product</t>
  </si>
  <si>
    <t>Units Sold</t>
  </si>
  <si>
    <t>Unit Price</t>
  </si>
  <si>
    <t>Revenue</t>
  </si>
  <si>
    <t>Target</t>
  </si>
  <si>
    <t>Status</t>
  </si>
  <si>
    <t>North</t>
  </si>
  <si>
    <t>Alice</t>
  </si>
  <si>
    <t>Laptop</t>
  </si>
  <si>
    <t>Closed</t>
  </si>
  <si>
    <t>Total target</t>
  </si>
  <si>
    <t>East</t>
  </si>
  <si>
    <t>Brian</t>
  </si>
  <si>
    <t>Mouse</t>
  </si>
  <si>
    <t>Total Revenue</t>
  </si>
  <si>
    <t>South</t>
  </si>
  <si>
    <t>Charles</t>
  </si>
  <si>
    <t>Keyboard</t>
  </si>
  <si>
    <t>Total Units sold</t>
  </si>
  <si>
    <t>West</t>
  </si>
  <si>
    <t>Diana</t>
  </si>
  <si>
    <t>Monitor</t>
  </si>
  <si>
    <t>Eric</t>
  </si>
  <si>
    <t>Pending</t>
  </si>
  <si>
    <t>Faith</t>
  </si>
  <si>
    <t>George</t>
  </si>
  <si>
    <t>Hannah</t>
  </si>
  <si>
    <t>Ian</t>
  </si>
  <si>
    <t>Julia</t>
  </si>
  <si>
    <t>Kevin</t>
  </si>
  <si>
    <t>Lucy</t>
  </si>
  <si>
    <t>Mark</t>
  </si>
  <si>
    <t>Nancy</t>
  </si>
  <si>
    <t>Olivia</t>
  </si>
  <si>
    <t>Average Revenue</t>
  </si>
  <si>
    <t>Average Units Price</t>
  </si>
  <si>
    <t>Total  Revenue Recordd</t>
  </si>
  <si>
    <t>Units Sold Records</t>
  </si>
  <si>
    <t>All Sales Records</t>
  </si>
  <si>
    <t>Regio Records</t>
  </si>
  <si>
    <t>Missing Units Sold</t>
  </si>
  <si>
    <t>Missing Revenues</t>
  </si>
  <si>
    <t>Missing Products</t>
  </si>
  <si>
    <t>Missing Dates</t>
  </si>
  <si>
    <t>Lowest Prices</t>
  </si>
  <si>
    <t>Lowest Revenue</t>
  </si>
  <si>
    <t>Lowest Units Solds</t>
  </si>
  <si>
    <t>Highest Units Sold</t>
  </si>
  <si>
    <t>Highest Revenue</t>
  </si>
  <si>
    <t>Length of Region</t>
  </si>
  <si>
    <t>Products length</t>
  </si>
  <si>
    <t xml:space="preserve">North            </t>
  </si>
  <si>
    <t xml:space="preserve">Mouse    </t>
  </si>
  <si>
    <t xml:space="preserve">Keyboard        </t>
  </si>
  <si>
    <t xml:space="preserve">   Monitor</t>
  </si>
  <si>
    <t xml:space="preserve">East     </t>
  </si>
  <si>
    <t xml:space="preserve">West        </t>
  </si>
  <si>
    <t xml:space="preserve">Laptop        </t>
  </si>
  <si>
    <t>Clean Region</t>
  </si>
  <si>
    <t>Clean Products</t>
  </si>
  <si>
    <t>Lenght of Region TRim</t>
  </si>
  <si>
    <t>Lenght of Product TRim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</si>
</sst>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71"/>
    <col customWidth="1" min="3" max="3" width="12.0"/>
    <col customWidth="1" min="4" max="4" width="9.43"/>
    <col customWidth="1" min="5" max="5" width="12.14"/>
    <col customWidth="1" min="6" max="11" width="8.71"/>
    <col customWidth="1" min="12" max="12" width="15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45660.0</v>
      </c>
      <c r="B2" s="3" t="s">
        <v>9</v>
      </c>
      <c r="C2" s="3" t="s">
        <v>10</v>
      </c>
      <c r="D2" s="3" t="s">
        <v>11</v>
      </c>
      <c r="E2" s="3">
        <v>3.0</v>
      </c>
      <c r="F2" s="3">
        <v>650.0</v>
      </c>
      <c r="G2" s="3">
        <v>1950.0</v>
      </c>
      <c r="H2" s="3">
        <v>1800.0</v>
      </c>
      <c r="I2" s="3" t="s">
        <v>12</v>
      </c>
      <c r="L2" s="4" t="s">
        <v>13</v>
      </c>
      <c r="M2" s="5">
        <f>SUM(H2:H16)</f>
        <v>11150</v>
      </c>
    </row>
    <row r="3" ht="14.25" customHeight="1">
      <c r="A3" s="2">
        <v>45661.0</v>
      </c>
      <c r="B3" s="3" t="s">
        <v>14</v>
      </c>
      <c r="C3" s="3" t="s">
        <v>15</v>
      </c>
      <c r="D3" s="3" t="s">
        <v>16</v>
      </c>
      <c r="E3" s="3">
        <v>15.0</v>
      </c>
      <c r="F3" s="3">
        <v>25.0</v>
      </c>
      <c r="G3" s="3">
        <v>375.0</v>
      </c>
      <c r="H3" s="3">
        <v>400.0</v>
      </c>
      <c r="I3" s="3" t="s">
        <v>12</v>
      </c>
      <c r="L3" s="4" t="s">
        <v>17</v>
      </c>
      <c r="M3" s="5">
        <f>SUM(G2:G16)</f>
        <v>9815</v>
      </c>
    </row>
    <row r="4" ht="14.25" customHeight="1">
      <c r="A4" s="2">
        <v>45662.0</v>
      </c>
      <c r="B4" s="3" t="s">
        <v>18</v>
      </c>
      <c r="C4" s="3" t="s">
        <v>19</v>
      </c>
      <c r="D4" s="3" t="s">
        <v>20</v>
      </c>
      <c r="E4" s="3">
        <v>8.0</v>
      </c>
      <c r="F4" s="3">
        <v>45.0</v>
      </c>
      <c r="G4" s="3">
        <v>360.0</v>
      </c>
      <c r="H4" s="3">
        <v>350.0</v>
      </c>
      <c r="I4" s="3" t="s">
        <v>12</v>
      </c>
      <c r="L4" s="4" t="s">
        <v>21</v>
      </c>
      <c r="M4" s="5">
        <f>SUM(E2:E16)</f>
        <v>73</v>
      </c>
    </row>
    <row r="5" ht="14.25" customHeight="1">
      <c r="A5" s="2">
        <v>45663.0</v>
      </c>
      <c r="B5" s="3" t="s">
        <v>22</v>
      </c>
      <c r="C5" s="3" t="s">
        <v>23</v>
      </c>
      <c r="D5" s="3" t="s">
        <v>24</v>
      </c>
      <c r="E5" s="3">
        <v>4.0</v>
      </c>
      <c r="F5" s="3">
        <v>220.0</v>
      </c>
      <c r="G5" s="3">
        <v>880.0</v>
      </c>
      <c r="H5" s="3">
        <v>900.0</v>
      </c>
      <c r="I5" s="3" t="s">
        <v>12</v>
      </c>
    </row>
    <row r="6" ht="14.25" customHeight="1">
      <c r="A6" s="2">
        <v>45664.0</v>
      </c>
      <c r="B6" s="3" t="s">
        <v>9</v>
      </c>
      <c r="C6" s="3" t="s">
        <v>25</v>
      </c>
      <c r="D6" s="3" t="s">
        <v>11</v>
      </c>
      <c r="E6" s="3">
        <v>2.0</v>
      </c>
      <c r="F6" s="3">
        <v>700.0</v>
      </c>
      <c r="G6" s="3">
        <v>1400.0</v>
      </c>
      <c r="H6" s="3">
        <v>1800.0</v>
      </c>
      <c r="I6" s="3" t="s">
        <v>26</v>
      </c>
    </row>
    <row r="7" ht="14.25" customHeight="1">
      <c r="A7" s="2">
        <v>45665.0</v>
      </c>
      <c r="B7" s="3" t="s">
        <v>14</v>
      </c>
      <c r="C7" s="3" t="s">
        <v>27</v>
      </c>
      <c r="D7" s="3" t="s">
        <v>16</v>
      </c>
      <c r="E7" s="3">
        <v>10.0</v>
      </c>
      <c r="F7" s="3">
        <v>25.0</v>
      </c>
      <c r="G7" s="3">
        <v>250.0</v>
      </c>
      <c r="H7" s="3">
        <v>300.0</v>
      </c>
      <c r="I7" s="3" t="s">
        <v>12</v>
      </c>
    </row>
    <row r="8" ht="14.25" customHeight="1">
      <c r="A8" s="2">
        <v>45666.0</v>
      </c>
      <c r="B8" s="3" t="s">
        <v>18</v>
      </c>
      <c r="C8" s="3" t="s">
        <v>28</v>
      </c>
      <c r="D8" s="3" t="s">
        <v>20</v>
      </c>
      <c r="E8" s="3">
        <v>6.0</v>
      </c>
      <c r="F8" s="3">
        <v>50.0</v>
      </c>
      <c r="G8" s="3">
        <v>300.0</v>
      </c>
      <c r="H8" s="3">
        <v>400.0</v>
      </c>
      <c r="I8" s="3" t="s">
        <v>12</v>
      </c>
    </row>
    <row r="9" ht="14.25" customHeight="1">
      <c r="A9" s="2">
        <v>45667.0</v>
      </c>
      <c r="B9" s="3" t="s">
        <v>22</v>
      </c>
      <c r="C9" s="3" t="s">
        <v>29</v>
      </c>
      <c r="D9" s="3" t="s">
        <v>11</v>
      </c>
      <c r="E9" s="3">
        <v>1.0</v>
      </c>
      <c r="F9" s="3">
        <v>650.0</v>
      </c>
      <c r="G9" s="3">
        <v>650.0</v>
      </c>
      <c r="H9" s="3">
        <v>1000.0</v>
      </c>
      <c r="I9" s="3" t="s">
        <v>26</v>
      </c>
    </row>
    <row r="10" ht="14.25" customHeight="1">
      <c r="A10" s="2">
        <v>45668.0</v>
      </c>
      <c r="B10" s="3" t="s">
        <v>9</v>
      </c>
      <c r="C10" s="3" t="s">
        <v>30</v>
      </c>
      <c r="D10" s="3" t="s">
        <v>24</v>
      </c>
      <c r="E10" s="3">
        <v>5.0</v>
      </c>
      <c r="F10" s="3">
        <v>210.0</v>
      </c>
      <c r="G10" s="3">
        <v>1050.0</v>
      </c>
      <c r="H10" s="3">
        <v>900.0</v>
      </c>
      <c r="I10" s="3" t="s">
        <v>12</v>
      </c>
    </row>
    <row r="11" ht="14.25" customHeight="1">
      <c r="A11" s="2">
        <v>45669.0</v>
      </c>
      <c r="B11" s="3" t="s">
        <v>14</v>
      </c>
      <c r="C11" s="3" t="s">
        <v>31</v>
      </c>
      <c r="D11" s="3" t="s">
        <v>16</v>
      </c>
      <c r="E11" s="3"/>
      <c r="F11" s="3">
        <v>20.0</v>
      </c>
      <c r="G11" s="3"/>
      <c r="H11" s="3">
        <v>250.0</v>
      </c>
      <c r="I11" s="3" t="s">
        <v>26</v>
      </c>
    </row>
    <row r="12" ht="14.25" customHeight="1">
      <c r="A12" s="2">
        <v>45670.0</v>
      </c>
      <c r="B12" s="3" t="s">
        <v>18</v>
      </c>
      <c r="C12" s="3" t="s">
        <v>32</v>
      </c>
      <c r="D12" s="3" t="s">
        <v>20</v>
      </c>
      <c r="E12" s="3">
        <v>9.0</v>
      </c>
      <c r="F12" s="3">
        <v>40.0</v>
      </c>
      <c r="G12" s="3">
        <v>360.0</v>
      </c>
      <c r="H12" s="3">
        <v>350.0</v>
      </c>
      <c r="I12" s="3" t="s">
        <v>12</v>
      </c>
    </row>
    <row r="13" ht="14.25" customHeight="1">
      <c r="A13" s="2">
        <v>45671.0</v>
      </c>
      <c r="B13" s="3" t="s">
        <v>22</v>
      </c>
      <c r="C13" s="3" t="s">
        <v>33</v>
      </c>
      <c r="D13" s="3" t="s">
        <v>11</v>
      </c>
      <c r="E13" s="3">
        <v>2.0</v>
      </c>
      <c r="F13" s="3">
        <v>700.0</v>
      </c>
      <c r="G13" s="3">
        <v>1400.0</v>
      </c>
      <c r="H13" s="3">
        <v>1300.0</v>
      </c>
      <c r="I13" s="3" t="s">
        <v>12</v>
      </c>
    </row>
    <row r="14" ht="14.25" customHeight="1">
      <c r="A14" s="2">
        <v>45672.0</v>
      </c>
      <c r="B14" s="3" t="s">
        <v>9</v>
      </c>
      <c r="C14" s="3" t="s">
        <v>34</v>
      </c>
      <c r="D14" s="3" t="s">
        <v>16</v>
      </c>
      <c r="E14" s="3">
        <v>5.0</v>
      </c>
      <c r="F14" s="3">
        <v>30.0</v>
      </c>
      <c r="G14" s="3">
        <v>150.0</v>
      </c>
      <c r="H14" s="3">
        <v>200.0</v>
      </c>
      <c r="I14" s="3" t="s">
        <v>12</v>
      </c>
    </row>
    <row r="15" ht="14.25" customHeight="1">
      <c r="A15" s="2">
        <v>45673.0</v>
      </c>
      <c r="B15" s="3" t="s">
        <v>14</v>
      </c>
      <c r="C15" s="3" t="s">
        <v>35</v>
      </c>
      <c r="D15" s="3" t="s">
        <v>24</v>
      </c>
      <c r="E15" s="3">
        <v>3.0</v>
      </c>
      <c r="F15" s="3">
        <v>230.0</v>
      </c>
      <c r="G15" s="3">
        <v>690.0</v>
      </c>
      <c r="H15" s="3">
        <v>900.0</v>
      </c>
      <c r="I15" s="3" t="s">
        <v>26</v>
      </c>
    </row>
    <row r="16" ht="14.25" customHeight="1">
      <c r="A16" s="2">
        <v>45674.0</v>
      </c>
      <c r="B16" s="3" t="s">
        <v>18</v>
      </c>
      <c r="C16" s="3" t="s">
        <v>36</v>
      </c>
      <c r="D16" s="3" t="s">
        <v>20</v>
      </c>
      <c r="E16" s="3"/>
      <c r="F16" s="3"/>
      <c r="G16" s="3"/>
      <c r="H16" s="3">
        <v>300.0</v>
      </c>
      <c r="I16" s="3" t="s">
        <v>12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71"/>
    <col customWidth="1" min="3" max="3" width="12.0"/>
    <col customWidth="1" min="4" max="5" width="10.0"/>
    <col customWidth="1" min="6" max="6" width="5.43"/>
    <col customWidth="1" min="7" max="10" width="8.71"/>
    <col customWidth="1" min="11" max="11" width="18.0"/>
    <col customWidth="1" min="12" max="12" width="12.29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45660.0</v>
      </c>
      <c r="B2" s="3" t="s">
        <v>9</v>
      </c>
      <c r="C2" s="3" t="s">
        <v>10</v>
      </c>
      <c r="D2" s="3" t="s">
        <v>11</v>
      </c>
      <c r="E2" s="3">
        <v>3.0</v>
      </c>
      <c r="F2" s="3">
        <v>650.0</v>
      </c>
      <c r="G2" s="3">
        <v>1950.0</v>
      </c>
      <c r="H2" s="3">
        <v>1800.0</v>
      </c>
      <c r="I2" s="3" t="s">
        <v>12</v>
      </c>
      <c r="K2" s="4" t="s">
        <v>37</v>
      </c>
      <c r="L2" s="5">
        <f>AVERAGE(G2:G16)</f>
        <v>755</v>
      </c>
    </row>
    <row r="3" ht="14.25" customHeight="1">
      <c r="A3" s="2">
        <v>45661.0</v>
      </c>
      <c r="B3" s="3" t="s">
        <v>14</v>
      </c>
      <c r="C3" s="3" t="s">
        <v>15</v>
      </c>
      <c r="D3" s="3" t="s">
        <v>16</v>
      </c>
      <c r="E3" s="3">
        <v>15.0</v>
      </c>
      <c r="F3" s="3">
        <v>25.0</v>
      </c>
      <c r="G3" s="3">
        <v>375.0</v>
      </c>
      <c r="H3" s="3">
        <v>400.0</v>
      </c>
      <c r="I3" s="3" t="s">
        <v>12</v>
      </c>
      <c r="K3" s="6" t="s">
        <v>38</v>
      </c>
      <c r="L3" s="5">
        <f>AVERAGE(F2:F16)</f>
        <v>256.7857143</v>
      </c>
    </row>
    <row r="4" ht="14.25" customHeight="1">
      <c r="A4" s="2">
        <v>45662.0</v>
      </c>
      <c r="B4" s="3" t="s">
        <v>18</v>
      </c>
      <c r="C4" s="3" t="s">
        <v>19</v>
      </c>
      <c r="D4" s="3" t="s">
        <v>20</v>
      </c>
      <c r="E4" s="3">
        <v>8.0</v>
      </c>
      <c r="F4" s="3">
        <v>45.0</v>
      </c>
      <c r="G4" s="3">
        <v>360.0</v>
      </c>
      <c r="H4" s="3">
        <v>350.0</v>
      </c>
      <c r="I4" s="3" t="s">
        <v>12</v>
      </c>
    </row>
    <row r="5" ht="14.25" customHeight="1">
      <c r="A5" s="2">
        <v>45663.0</v>
      </c>
      <c r="B5" s="3" t="s">
        <v>22</v>
      </c>
      <c r="C5" s="3" t="s">
        <v>23</v>
      </c>
      <c r="D5" s="3" t="s">
        <v>24</v>
      </c>
      <c r="E5" s="3">
        <v>4.0</v>
      </c>
      <c r="F5" s="3">
        <v>220.0</v>
      </c>
      <c r="G5" s="3">
        <v>880.0</v>
      </c>
      <c r="H5" s="3">
        <v>900.0</v>
      </c>
      <c r="I5" s="3" t="s">
        <v>12</v>
      </c>
    </row>
    <row r="6" ht="14.25" customHeight="1">
      <c r="A6" s="2">
        <v>45664.0</v>
      </c>
      <c r="B6" s="3" t="s">
        <v>9</v>
      </c>
      <c r="C6" s="3" t="s">
        <v>25</v>
      </c>
      <c r="D6" s="3" t="s">
        <v>11</v>
      </c>
      <c r="E6" s="3">
        <v>2.0</v>
      </c>
      <c r="F6" s="3">
        <v>700.0</v>
      </c>
      <c r="G6" s="3">
        <v>1400.0</v>
      </c>
      <c r="H6" s="3">
        <v>1800.0</v>
      </c>
      <c r="I6" s="3" t="s">
        <v>26</v>
      </c>
    </row>
    <row r="7" ht="14.25" customHeight="1">
      <c r="A7" s="2">
        <v>45665.0</v>
      </c>
      <c r="B7" s="3" t="s">
        <v>14</v>
      </c>
      <c r="C7" s="3" t="s">
        <v>27</v>
      </c>
      <c r="D7" s="3" t="s">
        <v>16</v>
      </c>
      <c r="E7" s="3">
        <v>10.0</v>
      </c>
      <c r="F7" s="3">
        <v>25.0</v>
      </c>
      <c r="G7" s="3">
        <v>250.0</v>
      </c>
      <c r="H7" s="3">
        <v>300.0</v>
      </c>
      <c r="I7" s="3" t="s">
        <v>12</v>
      </c>
    </row>
    <row r="8" ht="14.25" customHeight="1">
      <c r="A8" s="2">
        <v>45666.0</v>
      </c>
      <c r="B8" s="3" t="s">
        <v>18</v>
      </c>
      <c r="C8" s="3" t="s">
        <v>28</v>
      </c>
      <c r="D8" s="3" t="s">
        <v>20</v>
      </c>
      <c r="E8" s="3">
        <v>6.0</v>
      </c>
      <c r="F8" s="3">
        <v>50.0</v>
      </c>
      <c r="G8" s="3">
        <v>300.0</v>
      </c>
      <c r="H8" s="3">
        <v>400.0</v>
      </c>
      <c r="I8" s="3" t="s">
        <v>12</v>
      </c>
    </row>
    <row r="9" ht="14.25" customHeight="1">
      <c r="A9" s="2">
        <v>45667.0</v>
      </c>
      <c r="B9" s="3" t="s">
        <v>22</v>
      </c>
      <c r="C9" s="3" t="s">
        <v>29</v>
      </c>
      <c r="D9" s="3" t="s">
        <v>11</v>
      </c>
      <c r="E9" s="3">
        <v>1.0</v>
      </c>
      <c r="F9" s="3">
        <v>650.0</v>
      </c>
      <c r="G9" s="3">
        <v>650.0</v>
      </c>
      <c r="H9" s="3">
        <v>1000.0</v>
      </c>
      <c r="I9" s="3" t="s">
        <v>26</v>
      </c>
    </row>
    <row r="10" ht="14.25" customHeight="1">
      <c r="A10" s="2">
        <v>45668.0</v>
      </c>
      <c r="B10" s="3" t="s">
        <v>9</v>
      </c>
      <c r="C10" s="3" t="s">
        <v>30</v>
      </c>
      <c r="D10" s="3" t="s">
        <v>24</v>
      </c>
      <c r="E10" s="3">
        <v>5.0</v>
      </c>
      <c r="F10" s="3">
        <v>210.0</v>
      </c>
      <c r="G10" s="3">
        <v>1050.0</v>
      </c>
      <c r="H10" s="3">
        <v>900.0</v>
      </c>
      <c r="I10" s="3" t="s">
        <v>12</v>
      </c>
    </row>
    <row r="11" ht="14.25" customHeight="1">
      <c r="A11" s="2">
        <v>45669.0</v>
      </c>
      <c r="B11" s="3" t="s">
        <v>14</v>
      </c>
      <c r="C11" s="3" t="s">
        <v>31</v>
      </c>
      <c r="D11" s="3" t="s">
        <v>16</v>
      </c>
      <c r="E11" s="3"/>
      <c r="F11" s="3">
        <v>20.0</v>
      </c>
      <c r="G11" s="3"/>
      <c r="H11" s="3">
        <v>250.0</v>
      </c>
      <c r="I11" s="3" t="s">
        <v>26</v>
      </c>
    </row>
    <row r="12" ht="14.25" customHeight="1">
      <c r="A12" s="2">
        <v>45670.0</v>
      </c>
      <c r="B12" s="3" t="s">
        <v>18</v>
      </c>
      <c r="C12" s="3" t="s">
        <v>32</v>
      </c>
      <c r="D12" s="3" t="s">
        <v>20</v>
      </c>
      <c r="E12" s="3">
        <v>9.0</v>
      </c>
      <c r="F12" s="3">
        <v>40.0</v>
      </c>
      <c r="G12" s="3">
        <v>360.0</v>
      </c>
      <c r="H12" s="3">
        <v>350.0</v>
      </c>
      <c r="I12" s="3" t="s">
        <v>12</v>
      </c>
    </row>
    <row r="13" ht="14.25" customHeight="1">
      <c r="A13" s="2">
        <v>45671.0</v>
      </c>
      <c r="B13" s="3" t="s">
        <v>22</v>
      </c>
      <c r="C13" s="3" t="s">
        <v>33</v>
      </c>
      <c r="D13" s="3" t="s">
        <v>11</v>
      </c>
      <c r="E13" s="3">
        <v>2.0</v>
      </c>
      <c r="F13" s="3">
        <v>700.0</v>
      </c>
      <c r="G13" s="3">
        <v>1400.0</v>
      </c>
      <c r="H13" s="3">
        <v>1300.0</v>
      </c>
      <c r="I13" s="3" t="s">
        <v>12</v>
      </c>
    </row>
    <row r="14" ht="14.25" customHeight="1">
      <c r="A14" s="2">
        <v>45672.0</v>
      </c>
      <c r="B14" s="3" t="s">
        <v>9</v>
      </c>
      <c r="C14" s="3" t="s">
        <v>34</v>
      </c>
      <c r="D14" s="3" t="s">
        <v>16</v>
      </c>
      <c r="E14" s="3">
        <v>5.0</v>
      </c>
      <c r="F14" s="3">
        <v>30.0</v>
      </c>
      <c r="G14" s="3">
        <v>150.0</v>
      </c>
      <c r="H14" s="3">
        <v>200.0</v>
      </c>
      <c r="I14" s="3" t="s">
        <v>12</v>
      </c>
    </row>
    <row r="15" ht="14.25" customHeight="1">
      <c r="A15" s="2">
        <v>45673.0</v>
      </c>
      <c r="B15" s="3" t="s">
        <v>14</v>
      </c>
      <c r="C15" s="3" t="s">
        <v>35</v>
      </c>
      <c r="D15" s="3" t="s">
        <v>24</v>
      </c>
      <c r="E15" s="3">
        <v>3.0</v>
      </c>
      <c r="F15" s="3">
        <v>230.0</v>
      </c>
      <c r="G15" s="3">
        <v>690.0</v>
      </c>
      <c r="H15" s="3">
        <v>900.0</v>
      </c>
      <c r="I15" s="3" t="s">
        <v>26</v>
      </c>
    </row>
    <row r="16" ht="14.25" customHeight="1">
      <c r="A16" s="2">
        <v>45674.0</v>
      </c>
      <c r="B16" s="3" t="s">
        <v>18</v>
      </c>
      <c r="C16" s="3" t="s">
        <v>36</v>
      </c>
      <c r="D16" s="3" t="s">
        <v>20</v>
      </c>
      <c r="E16" s="3"/>
      <c r="F16" s="3"/>
      <c r="G16" s="3"/>
      <c r="H16" s="3">
        <v>300.0</v>
      </c>
      <c r="I16" s="3" t="s">
        <v>12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71"/>
    <col customWidth="1" min="3" max="3" width="12.0"/>
    <col customWidth="1" min="4" max="4" width="10.29"/>
    <col customWidth="1" min="5" max="5" width="12.14"/>
    <col customWidth="1" min="6" max="10" width="8.71"/>
    <col customWidth="1" min="11" max="11" width="23.29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45660.0</v>
      </c>
      <c r="B2" s="3" t="s">
        <v>9</v>
      </c>
      <c r="C2" s="3" t="s">
        <v>10</v>
      </c>
      <c r="D2" s="3" t="s">
        <v>11</v>
      </c>
      <c r="E2" s="3">
        <v>3.0</v>
      </c>
      <c r="F2" s="3">
        <v>650.0</v>
      </c>
      <c r="G2" s="3">
        <v>1950.0</v>
      </c>
      <c r="H2" s="3">
        <v>1800.0</v>
      </c>
      <c r="I2" s="3" t="s">
        <v>12</v>
      </c>
      <c r="K2" s="4" t="s">
        <v>39</v>
      </c>
      <c r="L2" s="5">
        <f>COUNT(G2:G16)</f>
        <v>13</v>
      </c>
    </row>
    <row r="3" ht="14.25" customHeight="1">
      <c r="A3" s="2">
        <v>45661.0</v>
      </c>
      <c r="B3" s="3" t="s">
        <v>14</v>
      </c>
      <c r="C3" s="3" t="s">
        <v>15</v>
      </c>
      <c r="D3" s="3" t="s">
        <v>16</v>
      </c>
      <c r="E3" s="3">
        <v>15.0</v>
      </c>
      <c r="F3" s="3">
        <v>25.0</v>
      </c>
      <c r="G3" s="3">
        <v>375.0</v>
      </c>
      <c r="H3" s="3">
        <v>400.0</v>
      </c>
      <c r="I3" s="3" t="s">
        <v>12</v>
      </c>
      <c r="K3" s="4" t="s">
        <v>40</v>
      </c>
      <c r="L3" s="5">
        <f>COUNT(E2:E16)</f>
        <v>13</v>
      </c>
    </row>
    <row r="4" ht="14.25" customHeight="1">
      <c r="A4" s="2">
        <v>45662.0</v>
      </c>
      <c r="B4" s="3" t="s">
        <v>18</v>
      </c>
      <c r="C4" s="3" t="s">
        <v>19</v>
      </c>
      <c r="D4" s="3" t="s">
        <v>20</v>
      </c>
      <c r="E4" s="3">
        <v>8.0</v>
      </c>
      <c r="F4" s="3">
        <v>45.0</v>
      </c>
      <c r="G4" s="3">
        <v>360.0</v>
      </c>
      <c r="H4" s="3">
        <v>350.0</v>
      </c>
      <c r="I4" s="3" t="s">
        <v>12</v>
      </c>
    </row>
    <row r="5" ht="14.25" customHeight="1">
      <c r="A5" s="2">
        <v>45663.0</v>
      </c>
      <c r="B5" s="3" t="s">
        <v>22</v>
      </c>
      <c r="C5" s="3" t="s">
        <v>23</v>
      </c>
      <c r="D5" s="3" t="s">
        <v>24</v>
      </c>
      <c r="E5" s="3">
        <v>4.0</v>
      </c>
      <c r="F5" s="3">
        <v>220.0</v>
      </c>
      <c r="G5" s="3">
        <v>880.0</v>
      </c>
      <c r="H5" s="3">
        <v>900.0</v>
      </c>
      <c r="I5" s="3" t="s">
        <v>12</v>
      </c>
    </row>
    <row r="6" ht="14.25" customHeight="1">
      <c r="A6" s="2">
        <v>45664.0</v>
      </c>
      <c r="B6" s="3" t="s">
        <v>9</v>
      </c>
      <c r="C6" s="3" t="s">
        <v>25</v>
      </c>
      <c r="D6" s="3" t="s">
        <v>11</v>
      </c>
      <c r="E6" s="3">
        <v>2.0</v>
      </c>
      <c r="F6" s="3">
        <v>700.0</v>
      </c>
      <c r="G6" s="3">
        <v>1400.0</v>
      </c>
      <c r="H6" s="3">
        <v>1800.0</v>
      </c>
      <c r="I6" s="3" t="s">
        <v>26</v>
      </c>
    </row>
    <row r="7" ht="14.25" customHeight="1">
      <c r="A7" s="2">
        <v>45665.0</v>
      </c>
      <c r="B7" s="3" t="s">
        <v>14</v>
      </c>
      <c r="C7" s="3" t="s">
        <v>27</v>
      </c>
      <c r="D7" s="3" t="s">
        <v>16</v>
      </c>
      <c r="E7" s="3">
        <v>10.0</v>
      </c>
      <c r="F7" s="3">
        <v>25.0</v>
      </c>
      <c r="G7" s="3">
        <v>250.0</v>
      </c>
      <c r="H7" s="3">
        <v>300.0</v>
      </c>
      <c r="I7" s="3" t="s">
        <v>12</v>
      </c>
    </row>
    <row r="8" ht="14.25" customHeight="1">
      <c r="A8" s="2">
        <v>45666.0</v>
      </c>
      <c r="B8" s="3" t="s">
        <v>18</v>
      </c>
      <c r="C8" s="3" t="s">
        <v>28</v>
      </c>
      <c r="D8" s="3" t="s">
        <v>20</v>
      </c>
      <c r="E8" s="3">
        <v>6.0</v>
      </c>
      <c r="F8" s="3">
        <v>50.0</v>
      </c>
      <c r="G8" s="3">
        <v>300.0</v>
      </c>
      <c r="H8" s="3">
        <v>400.0</v>
      </c>
      <c r="I8" s="3" t="s">
        <v>12</v>
      </c>
    </row>
    <row r="9" ht="14.25" customHeight="1">
      <c r="A9" s="2">
        <v>45667.0</v>
      </c>
      <c r="B9" s="3" t="s">
        <v>22</v>
      </c>
      <c r="C9" s="3" t="s">
        <v>29</v>
      </c>
      <c r="D9" s="3" t="s">
        <v>11</v>
      </c>
      <c r="E9" s="3">
        <v>1.0</v>
      </c>
      <c r="F9" s="3">
        <v>650.0</v>
      </c>
      <c r="G9" s="3">
        <v>650.0</v>
      </c>
      <c r="H9" s="3">
        <v>1000.0</v>
      </c>
      <c r="I9" s="3" t="s">
        <v>26</v>
      </c>
    </row>
    <row r="10" ht="14.25" customHeight="1">
      <c r="A10" s="2">
        <v>45668.0</v>
      </c>
      <c r="B10" s="3" t="s">
        <v>9</v>
      </c>
      <c r="C10" s="3" t="s">
        <v>30</v>
      </c>
      <c r="D10" s="3" t="s">
        <v>24</v>
      </c>
      <c r="E10" s="3">
        <v>5.0</v>
      </c>
      <c r="F10" s="3">
        <v>210.0</v>
      </c>
      <c r="G10" s="3">
        <v>1050.0</v>
      </c>
      <c r="H10" s="3">
        <v>900.0</v>
      </c>
      <c r="I10" s="3" t="s">
        <v>12</v>
      </c>
    </row>
    <row r="11" ht="14.25" customHeight="1">
      <c r="A11" s="2">
        <v>45669.0</v>
      </c>
      <c r="B11" s="3" t="s">
        <v>14</v>
      </c>
      <c r="C11" s="3" t="s">
        <v>31</v>
      </c>
      <c r="D11" s="3" t="s">
        <v>16</v>
      </c>
      <c r="E11" s="3"/>
      <c r="F11" s="3">
        <v>20.0</v>
      </c>
      <c r="G11" s="3"/>
      <c r="H11" s="3">
        <v>250.0</v>
      </c>
      <c r="I11" s="3" t="s">
        <v>26</v>
      </c>
    </row>
    <row r="12" ht="14.25" customHeight="1">
      <c r="A12" s="2">
        <v>45670.0</v>
      </c>
      <c r="B12" s="3" t="s">
        <v>18</v>
      </c>
      <c r="C12" s="3" t="s">
        <v>32</v>
      </c>
      <c r="D12" s="3" t="s">
        <v>20</v>
      </c>
      <c r="E12" s="3">
        <v>9.0</v>
      </c>
      <c r="F12" s="3">
        <v>40.0</v>
      </c>
      <c r="G12" s="3">
        <v>360.0</v>
      </c>
      <c r="H12" s="3">
        <v>350.0</v>
      </c>
      <c r="I12" s="3" t="s">
        <v>12</v>
      </c>
    </row>
    <row r="13" ht="14.25" customHeight="1">
      <c r="A13" s="2">
        <v>45671.0</v>
      </c>
      <c r="B13" s="3" t="s">
        <v>22</v>
      </c>
      <c r="C13" s="3" t="s">
        <v>33</v>
      </c>
      <c r="D13" s="3" t="s">
        <v>11</v>
      </c>
      <c r="E13" s="3">
        <v>2.0</v>
      </c>
      <c r="F13" s="3">
        <v>700.0</v>
      </c>
      <c r="G13" s="3">
        <v>1400.0</v>
      </c>
      <c r="H13" s="3">
        <v>1300.0</v>
      </c>
      <c r="I13" s="3" t="s">
        <v>12</v>
      </c>
    </row>
    <row r="14" ht="14.25" customHeight="1">
      <c r="A14" s="2">
        <v>45672.0</v>
      </c>
      <c r="B14" s="3" t="s">
        <v>9</v>
      </c>
      <c r="C14" s="3" t="s">
        <v>34</v>
      </c>
      <c r="D14" s="3" t="s">
        <v>16</v>
      </c>
      <c r="E14" s="3">
        <v>5.0</v>
      </c>
      <c r="F14" s="3">
        <v>30.0</v>
      </c>
      <c r="G14" s="3">
        <v>150.0</v>
      </c>
      <c r="H14" s="3">
        <v>200.0</v>
      </c>
      <c r="I14" s="3" t="s">
        <v>12</v>
      </c>
    </row>
    <row r="15" ht="14.25" customHeight="1">
      <c r="A15" s="2">
        <v>45673.0</v>
      </c>
      <c r="B15" s="3" t="s">
        <v>14</v>
      </c>
      <c r="C15" s="3" t="s">
        <v>35</v>
      </c>
      <c r="D15" s="3" t="s">
        <v>24</v>
      </c>
      <c r="E15" s="3">
        <v>3.0</v>
      </c>
      <c r="F15" s="3">
        <v>230.0</v>
      </c>
      <c r="G15" s="3">
        <v>690.0</v>
      </c>
      <c r="H15" s="3">
        <v>900.0</v>
      </c>
      <c r="I15" s="3" t="s">
        <v>26</v>
      </c>
    </row>
    <row r="16" ht="14.25" customHeight="1">
      <c r="A16" s="2">
        <v>45674.0</v>
      </c>
      <c r="B16" s="3" t="s">
        <v>18</v>
      </c>
      <c r="C16" s="3" t="s">
        <v>36</v>
      </c>
      <c r="D16" s="3" t="s">
        <v>20</v>
      </c>
      <c r="E16" s="3"/>
      <c r="F16" s="3"/>
      <c r="G16" s="3"/>
      <c r="H16" s="3">
        <v>300.0</v>
      </c>
      <c r="I16" s="3" t="s">
        <v>12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71"/>
    <col customWidth="1" min="3" max="3" width="12.0"/>
    <col customWidth="1" min="4" max="5" width="12.14"/>
    <col customWidth="1" min="6" max="10" width="8.71"/>
    <col customWidth="1" min="11" max="11" width="17.0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45660.0</v>
      </c>
      <c r="B2" s="3" t="s">
        <v>9</v>
      </c>
      <c r="C2" s="3" t="s">
        <v>10</v>
      </c>
      <c r="D2" s="3" t="s">
        <v>11</v>
      </c>
      <c r="E2" s="3">
        <v>3.0</v>
      </c>
      <c r="F2" s="3">
        <v>650.0</v>
      </c>
      <c r="G2" s="3">
        <v>1950.0</v>
      </c>
      <c r="H2" s="3">
        <v>1800.0</v>
      </c>
      <c r="I2" s="3" t="s">
        <v>12</v>
      </c>
      <c r="K2" s="4" t="s">
        <v>41</v>
      </c>
      <c r="L2" s="5">
        <f>COUNTA(E2:E16)</f>
        <v>13</v>
      </c>
    </row>
    <row r="3" ht="14.25" customHeight="1">
      <c r="A3" s="2">
        <v>45661.0</v>
      </c>
      <c r="B3" s="3" t="s">
        <v>14</v>
      </c>
      <c r="C3" s="3" t="s">
        <v>15</v>
      </c>
      <c r="D3" s="3" t="s">
        <v>16</v>
      </c>
      <c r="E3" s="3">
        <v>15.0</v>
      </c>
      <c r="F3" s="3">
        <v>25.0</v>
      </c>
      <c r="G3" s="3">
        <v>375.0</v>
      </c>
      <c r="H3" s="3">
        <v>400.0</v>
      </c>
      <c r="I3" s="3" t="s">
        <v>12</v>
      </c>
      <c r="K3" s="4" t="s">
        <v>42</v>
      </c>
      <c r="L3" s="5">
        <f>COUNTA(B2:B16)</f>
        <v>15</v>
      </c>
    </row>
    <row r="4" ht="14.25" customHeight="1">
      <c r="A4" s="2">
        <v>45662.0</v>
      </c>
      <c r="B4" s="3" t="s">
        <v>18</v>
      </c>
      <c r="C4" s="3" t="s">
        <v>19</v>
      </c>
      <c r="D4" s="3" t="s">
        <v>20</v>
      </c>
      <c r="E4" s="3">
        <v>8.0</v>
      </c>
      <c r="F4" s="3">
        <v>45.0</v>
      </c>
      <c r="G4" s="3">
        <v>360.0</v>
      </c>
      <c r="H4" s="3">
        <v>350.0</v>
      </c>
      <c r="I4" s="3" t="s">
        <v>12</v>
      </c>
    </row>
    <row r="5" ht="14.25" customHeight="1">
      <c r="A5" s="2">
        <v>45663.0</v>
      </c>
      <c r="B5" s="3" t="s">
        <v>22</v>
      </c>
      <c r="C5" s="3" t="s">
        <v>23</v>
      </c>
      <c r="D5" s="3" t="s">
        <v>24</v>
      </c>
      <c r="E5" s="3">
        <v>4.0</v>
      </c>
      <c r="F5" s="3">
        <v>220.0</v>
      </c>
      <c r="G5" s="3">
        <v>880.0</v>
      </c>
      <c r="H5" s="3">
        <v>900.0</v>
      </c>
      <c r="I5" s="3" t="s">
        <v>12</v>
      </c>
    </row>
    <row r="6" ht="14.25" customHeight="1">
      <c r="A6" s="2">
        <v>45664.0</v>
      </c>
      <c r="B6" s="3" t="s">
        <v>9</v>
      </c>
      <c r="C6" s="3" t="s">
        <v>25</v>
      </c>
      <c r="D6" s="3" t="s">
        <v>11</v>
      </c>
      <c r="E6" s="3">
        <v>2.0</v>
      </c>
      <c r="F6" s="3">
        <v>700.0</v>
      </c>
      <c r="G6" s="3">
        <v>1400.0</v>
      </c>
      <c r="H6" s="3">
        <v>1800.0</v>
      </c>
      <c r="I6" s="3" t="s">
        <v>26</v>
      </c>
    </row>
    <row r="7" ht="14.25" customHeight="1">
      <c r="A7" s="2">
        <v>45665.0</v>
      </c>
      <c r="B7" s="3" t="s">
        <v>14</v>
      </c>
      <c r="C7" s="3" t="s">
        <v>27</v>
      </c>
      <c r="D7" s="3" t="s">
        <v>16</v>
      </c>
      <c r="E7" s="3">
        <v>10.0</v>
      </c>
      <c r="F7" s="3">
        <v>25.0</v>
      </c>
      <c r="G7" s="3">
        <v>250.0</v>
      </c>
      <c r="H7" s="3">
        <v>300.0</v>
      </c>
      <c r="I7" s="3" t="s">
        <v>12</v>
      </c>
    </row>
    <row r="8" ht="14.25" customHeight="1">
      <c r="A8" s="2">
        <v>45666.0</v>
      </c>
      <c r="B8" s="3" t="s">
        <v>18</v>
      </c>
      <c r="C8" s="3" t="s">
        <v>28</v>
      </c>
      <c r="D8" s="3" t="s">
        <v>20</v>
      </c>
      <c r="E8" s="3">
        <v>6.0</v>
      </c>
      <c r="F8" s="3">
        <v>50.0</v>
      </c>
      <c r="G8" s="3">
        <v>300.0</v>
      </c>
      <c r="H8" s="3">
        <v>400.0</v>
      </c>
      <c r="I8" s="3" t="s">
        <v>12</v>
      </c>
    </row>
    <row r="9" ht="14.25" customHeight="1">
      <c r="A9" s="2">
        <v>45667.0</v>
      </c>
      <c r="B9" s="3" t="s">
        <v>22</v>
      </c>
      <c r="C9" s="3" t="s">
        <v>29</v>
      </c>
      <c r="D9" s="3" t="s">
        <v>11</v>
      </c>
      <c r="E9" s="3">
        <v>1.0</v>
      </c>
      <c r="F9" s="3">
        <v>650.0</v>
      </c>
      <c r="G9" s="3">
        <v>650.0</v>
      </c>
      <c r="H9" s="3">
        <v>1000.0</v>
      </c>
      <c r="I9" s="3" t="s">
        <v>26</v>
      </c>
    </row>
    <row r="10" ht="14.25" customHeight="1">
      <c r="A10" s="2">
        <v>45668.0</v>
      </c>
      <c r="B10" s="3" t="s">
        <v>9</v>
      </c>
      <c r="C10" s="3" t="s">
        <v>30</v>
      </c>
      <c r="D10" s="3" t="s">
        <v>24</v>
      </c>
      <c r="E10" s="3">
        <v>5.0</v>
      </c>
      <c r="F10" s="3">
        <v>210.0</v>
      </c>
      <c r="G10" s="3">
        <v>1050.0</v>
      </c>
      <c r="H10" s="3">
        <v>900.0</v>
      </c>
      <c r="I10" s="3" t="s">
        <v>12</v>
      </c>
    </row>
    <row r="11" ht="14.25" customHeight="1">
      <c r="A11" s="2">
        <v>45669.0</v>
      </c>
      <c r="B11" s="3" t="s">
        <v>14</v>
      </c>
      <c r="C11" s="3" t="s">
        <v>31</v>
      </c>
      <c r="D11" s="3" t="s">
        <v>16</v>
      </c>
      <c r="E11" s="3"/>
      <c r="F11" s="3">
        <v>20.0</v>
      </c>
      <c r="G11" s="3"/>
      <c r="H11" s="3">
        <v>250.0</v>
      </c>
      <c r="I11" s="3" t="s">
        <v>26</v>
      </c>
    </row>
    <row r="12" ht="14.25" customHeight="1">
      <c r="A12" s="2">
        <v>45670.0</v>
      </c>
      <c r="B12" s="3" t="s">
        <v>18</v>
      </c>
      <c r="C12" s="3" t="s">
        <v>32</v>
      </c>
      <c r="D12" s="3" t="s">
        <v>20</v>
      </c>
      <c r="E12" s="3">
        <v>9.0</v>
      </c>
      <c r="F12" s="3">
        <v>40.0</v>
      </c>
      <c r="G12" s="3">
        <v>360.0</v>
      </c>
      <c r="H12" s="3">
        <v>350.0</v>
      </c>
      <c r="I12" s="3" t="s">
        <v>12</v>
      </c>
    </row>
    <row r="13" ht="14.25" customHeight="1">
      <c r="A13" s="2">
        <v>45671.0</v>
      </c>
      <c r="B13" s="3" t="s">
        <v>22</v>
      </c>
      <c r="C13" s="3" t="s">
        <v>33</v>
      </c>
      <c r="D13" s="3" t="s">
        <v>11</v>
      </c>
      <c r="E13" s="3">
        <v>2.0</v>
      </c>
      <c r="F13" s="3">
        <v>700.0</v>
      </c>
      <c r="G13" s="3">
        <v>1400.0</v>
      </c>
      <c r="H13" s="3">
        <v>1300.0</v>
      </c>
      <c r="I13" s="3" t="s">
        <v>12</v>
      </c>
    </row>
    <row r="14" ht="14.25" customHeight="1">
      <c r="A14" s="2">
        <v>45672.0</v>
      </c>
      <c r="B14" s="3" t="s">
        <v>9</v>
      </c>
      <c r="C14" s="3" t="s">
        <v>34</v>
      </c>
      <c r="D14" s="3" t="s">
        <v>16</v>
      </c>
      <c r="E14" s="3">
        <v>5.0</v>
      </c>
      <c r="F14" s="3">
        <v>30.0</v>
      </c>
      <c r="G14" s="3">
        <v>150.0</v>
      </c>
      <c r="H14" s="3">
        <v>200.0</v>
      </c>
      <c r="I14" s="3" t="s">
        <v>12</v>
      </c>
    </row>
    <row r="15" ht="14.25" customHeight="1">
      <c r="A15" s="2">
        <v>45673.0</v>
      </c>
      <c r="B15" s="3" t="s">
        <v>14</v>
      </c>
      <c r="C15" s="3" t="s">
        <v>35</v>
      </c>
      <c r="D15" s="3" t="s">
        <v>24</v>
      </c>
      <c r="E15" s="3">
        <v>3.0</v>
      </c>
      <c r="F15" s="3">
        <v>230.0</v>
      </c>
      <c r="G15" s="3">
        <v>690.0</v>
      </c>
      <c r="H15" s="3">
        <v>900.0</v>
      </c>
      <c r="I15" s="3" t="s">
        <v>26</v>
      </c>
    </row>
    <row r="16" ht="14.25" customHeight="1">
      <c r="A16" s="2">
        <v>45674.0</v>
      </c>
      <c r="B16" s="3" t="s">
        <v>18</v>
      </c>
      <c r="C16" s="3" t="s">
        <v>36</v>
      </c>
      <c r="D16" s="3" t="s">
        <v>20</v>
      </c>
      <c r="E16" s="3"/>
      <c r="F16" s="3"/>
      <c r="G16" s="3"/>
      <c r="H16" s="3">
        <v>300.0</v>
      </c>
      <c r="I16" s="3" t="s">
        <v>12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71"/>
    <col customWidth="1" min="3" max="3" width="12.0"/>
    <col customWidth="1" min="4" max="4" width="11.86"/>
    <col customWidth="1" min="5" max="5" width="12.14"/>
    <col customWidth="1" min="6" max="10" width="8.71"/>
    <col customWidth="1" min="11" max="11" width="18.57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45660.0</v>
      </c>
      <c r="B2" s="3" t="s">
        <v>9</v>
      </c>
      <c r="C2" s="3" t="s">
        <v>10</v>
      </c>
      <c r="D2" s="3" t="s">
        <v>11</v>
      </c>
      <c r="E2" s="3">
        <v>3.0</v>
      </c>
      <c r="F2" s="3">
        <v>650.0</v>
      </c>
      <c r="G2" s="3">
        <v>1950.0</v>
      </c>
      <c r="H2" s="3">
        <v>1800.0</v>
      </c>
      <c r="I2" s="3" t="s">
        <v>12</v>
      </c>
    </row>
    <row r="3" ht="14.25" customHeight="1">
      <c r="A3" s="2">
        <v>45661.0</v>
      </c>
      <c r="B3" s="3" t="s">
        <v>14</v>
      </c>
      <c r="C3" s="3" t="s">
        <v>15</v>
      </c>
      <c r="D3" s="3" t="s">
        <v>16</v>
      </c>
      <c r="E3" s="3">
        <v>15.0</v>
      </c>
      <c r="F3" s="3">
        <v>25.0</v>
      </c>
      <c r="G3" s="3"/>
      <c r="H3" s="3">
        <v>400.0</v>
      </c>
      <c r="I3" s="3" t="s">
        <v>12</v>
      </c>
      <c r="K3" s="4" t="s">
        <v>43</v>
      </c>
      <c r="L3" s="5">
        <f>COUNTBLANK(E2:E16)</f>
        <v>2</v>
      </c>
    </row>
    <row r="4" ht="14.25" customHeight="1">
      <c r="A4" s="2">
        <v>45662.0</v>
      </c>
      <c r="B4" s="3" t="s">
        <v>18</v>
      </c>
      <c r="C4" s="3" t="s">
        <v>19</v>
      </c>
      <c r="D4" s="3" t="s">
        <v>20</v>
      </c>
      <c r="E4" s="3">
        <v>8.0</v>
      </c>
      <c r="F4" s="3">
        <v>45.0</v>
      </c>
      <c r="G4" s="3">
        <v>360.0</v>
      </c>
      <c r="H4" s="3">
        <v>350.0</v>
      </c>
      <c r="I4" s="3" t="s">
        <v>12</v>
      </c>
      <c r="K4" s="4" t="s">
        <v>44</v>
      </c>
      <c r="L4" s="5">
        <f>COUNTBLANK(G2:G16)</f>
        <v>4</v>
      </c>
    </row>
    <row r="5" ht="14.25" customHeight="1">
      <c r="A5" s="2"/>
      <c r="B5" s="3" t="s">
        <v>22</v>
      </c>
      <c r="C5" s="3" t="s">
        <v>23</v>
      </c>
      <c r="D5" s="3" t="s">
        <v>24</v>
      </c>
      <c r="E5" s="3">
        <v>4.0</v>
      </c>
      <c r="F5" s="3">
        <v>220.0</v>
      </c>
      <c r="G5" s="3">
        <v>880.0</v>
      </c>
      <c r="H5" s="3">
        <v>900.0</v>
      </c>
      <c r="I5" s="3" t="s">
        <v>12</v>
      </c>
      <c r="K5" s="4" t="s">
        <v>45</v>
      </c>
      <c r="L5" s="5">
        <f>COUNTBLANK(D2:D16)</f>
        <v>3</v>
      </c>
    </row>
    <row r="6" ht="14.25" customHeight="1">
      <c r="A6" s="2">
        <v>45664.0</v>
      </c>
      <c r="B6" s="3" t="s">
        <v>9</v>
      </c>
      <c r="C6" s="3" t="s">
        <v>25</v>
      </c>
      <c r="D6" s="3"/>
      <c r="E6" s="3">
        <v>2.0</v>
      </c>
      <c r="F6" s="3">
        <v>700.0</v>
      </c>
      <c r="G6" s="3">
        <v>1400.0</v>
      </c>
      <c r="H6" s="3">
        <v>1800.0</v>
      </c>
      <c r="I6" s="3" t="s">
        <v>26</v>
      </c>
      <c r="K6" s="4" t="s">
        <v>46</v>
      </c>
      <c r="L6" s="5">
        <f>COUNTBLANK(A2:A16)</f>
        <v>2</v>
      </c>
    </row>
    <row r="7" ht="14.25" customHeight="1">
      <c r="A7" s="2">
        <v>45665.0</v>
      </c>
      <c r="B7" s="3" t="s">
        <v>14</v>
      </c>
      <c r="C7" s="3" t="s">
        <v>27</v>
      </c>
      <c r="D7" s="3" t="s">
        <v>16</v>
      </c>
      <c r="E7" s="3">
        <v>10.0</v>
      </c>
      <c r="F7" s="3">
        <v>25.0</v>
      </c>
      <c r="G7" s="3"/>
      <c r="H7" s="3">
        <v>300.0</v>
      </c>
      <c r="I7" s="3" t="s">
        <v>12</v>
      </c>
    </row>
    <row r="8" ht="14.25" customHeight="1">
      <c r="A8" s="2">
        <v>45666.0</v>
      </c>
      <c r="B8" s="3" t="s">
        <v>18</v>
      </c>
      <c r="C8" s="3" t="s">
        <v>28</v>
      </c>
      <c r="D8" s="3" t="s">
        <v>20</v>
      </c>
      <c r="E8" s="3">
        <v>6.0</v>
      </c>
      <c r="F8" s="3">
        <v>50.0</v>
      </c>
      <c r="G8" s="3">
        <v>300.0</v>
      </c>
      <c r="H8" s="3">
        <v>400.0</v>
      </c>
      <c r="I8" s="3" t="s">
        <v>12</v>
      </c>
    </row>
    <row r="9" ht="14.25" customHeight="1">
      <c r="A9" s="2">
        <v>45667.0</v>
      </c>
      <c r="B9" s="3" t="s">
        <v>22</v>
      </c>
      <c r="C9" s="3" t="s">
        <v>29</v>
      </c>
      <c r="D9" s="3" t="s">
        <v>11</v>
      </c>
      <c r="E9" s="3">
        <v>1.0</v>
      </c>
      <c r="F9" s="3">
        <v>650.0</v>
      </c>
      <c r="G9" s="3">
        <v>650.0</v>
      </c>
      <c r="H9" s="3">
        <v>1000.0</v>
      </c>
      <c r="I9" s="3" t="s">
        <v>26</v>
      </c>
    </row>
    <row r="10" ht="14.25" customHeight="1">
      <c r="A10" s="2">
        <v>45668.0</v>
      </c>
      <c r="B10" s="3" t="s">
        <v>9</v>
      </c>
      <c r="C10" s="3" t="s">
        <v>30</v>
      </c>
      <c r="D10" s="3" t="s">
        <v>24</v>
      </c>
      <c r="E10" s="3">
        <v>5.0</v>
      </c>
      <c r="F10" s="3">
        <v>210.0</v>
      </c>
      <c r="G10" s="3">
        <v>1050.0</v>
      </c>
      <c r="H10" s="3">
        <v>900.0</v>
      </c>
      <c r="I10" s="3" t="s">
        <v>12</v>
      </c>
    </row>
    <row r="11" ht="14.25" customHeight="1">
      <c r="A11" s="2">
        <v>45669.0</v>
      </c>
      <c r="B11" s="3" t="s">
        <v>14</v>
      </c>
      <c r="C11" s="3" t="s">
        <v>31</v>
      </c>
      <c r="D11" s="3"/>
      <c r="E11" s="3"/>
      <c r="F11" s="3">
        <v>20.0</v>
      </c>
      <c r="G11" s="3"/>
      <c r="H11" s="3">
        <v>250.0</v>
      </c>
      <c r="I11" s="3" t="s">
        <v>26</v>
      </c>
    </row>
    <row r="12" ht="14.25" customHeight="1">
      <c r="A12" s="2">
        <v>45670.0</v>
      </c>
      <c r="B12" s="3" t="s">
        <v>18</v>
      </c>
      <c r="C12" s="3" t="s">
        <v>32</v>
      </c>
      <c r="D12" s="3" t="s">
        <v>20</v>
      </c>
      <c r="E12" s="3">
        <v>9.0</v>
      </c>
      <c r="F12" s="3">
        <v>40.0</v>
      </c>
      <c r="G12" s="3">
        <v>360.0</v>
      </c>
      <c r="H12" s="3">
        <v>350.0</v>
      </c>
      <c r="I12" s="3" t="s">
        <v>12</v>
      </c>
    </row>
    <row r="13" ht="14.25" customHeight="1">
      <c r="A13" s="2"/>
      <c r="B13" s="3" t="s">
        <v>22</v>
      </c>
      <c r="C13" s="3" t="s">
        <v>33</v>
      </c>
      <c r="D13" s="3" t="s">
        <v>11</v>
      </c>
      <c r="E13" s="3">
        <v>2.0</v>
      </c>
      <c r="F13" s="3">
        <v>700.0</v>
      </c>
      <c r="G13" s="3">
        <v>1400.0</v>
      </c>
      <c r="H13" s="3">
        <v>1300.0</v>
      </c>
      <c r="I13" s="3" t="s">
        <v>12</v>
      </c>
    </row>
    <row r="14" ht="14.25" customHeight="1">
      <c r="A14" s="2">
        <v>45672.0</v>
      </c>
      <c r="B14" s="3" t="s">
        <v>9</v>
      </c>
      <c r="C14" s="3" t="s">
        <v>34</v>
      </c>
      <c r="D14" s="3" t="s">
        <v>16</v>
      </c>
      <c r="E14" s="3">
        <v>5.0</v>
      </c>
      <c r="F14" s="3">
        <v>30.0</v>
      </c>
      <c r="G14" s="3">
        <v>150.0</v>
      </c>
      <c r="H14" s="3">
        <v>200.0</v>
      </c>
      <c r="I14" s="3" t="s">
        <v>12</v>
      </c>
    </row>
    <row r="15" ht="14.25" customHeight="1">
      <c r="A15" s="2">
        <v>45673.0</v>
      </c>
      <c r="B15" s="3" t="s">
        <v>14</v>
      </c>
      <c r="C15" s="3" t="s">
        <v>35</v>
      </c>
      <c r="D15" s="3"/>
      <c r="E15" s="3">
        <v>3.0</v>
      </c>
      <c r="F15" s="3">
        <v>230.0</v>
      </c>
      <c r="G15" s="3">
        <v>690.0</v>
      </c>
      <c r="H15" s="3">
        <v>900.0</v>
      </c>
      <c r="I15" s="3" t="s">
        <v>26</v>
      </c>
    </row>
    <row r="16" ht="14.25" customHeight="1">
      <c r="A16" s="2">
        <v>45674.0</v>
      </c>
      <c r="B16" s="3" t="s">
        <v>18</v>
      </c>
      <c r="C16" s="3" t="s">
        <v>36</v>
      </c>
      <c r="D16" s="3" t="s">
        <v>20</v>
      </c>
      <c r="E16" s="3"/>
      <c r="F16" s="3"/>
      <c r="G16" s="3"/>
      <c r="H16" s="3">
        <v>300.0</v>
      </c>
      <c r="I16" s="3" t="s">
        <v>12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71"/>
    <col customWidth="1" min="3" max="3" width="12.0"/>
    <col customWidth="1" min="4" max="4" width="9.71"/>
    <col customWidth="1" min="5" max="5" width="12.14"/>
    <col customWidth="1" min="6" max="10" width="8.71"/>
    <col customWidth="1" min="11" max="11" width="18.86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45660.0</v>
      </c>
      <c r="B2" s="3" t="s">
        <v>9</v>
      </c>
      <c r="C2" s="3" t="s">
        <v>10</v>
      </c>
      <c r="D2" s="3" t="s">
        <v>11</v>
      </c>
      <c r="E2" s="3">
        <v>3.0</v>
      </c>
      <c r="F2" s="3">
        <v>650.0</v>
      </c>
      <c r="G2" s="3">
        <v>1950.0</v>
      </c>
      <c r="H2" s="3">
        <v>1800.0</v>
      </c>
      <c r="I2" s="3" t="s">
        <v>12</v>
      </c>
    </row>
    <row r="3" ht="14.25" customHeight="1">
      <c r="A3" s="2">
        <v>45661.0</v>
      </c>
      <c r="B3" s="3" t="s">
        <v>14</v>
      </c>
      <c r="C3" s="3" t="s">
        <v>15</v>
      </c>
      <c r="D3" s="3" t="s">
        <v>16</v>
      </c>
      <c r="E3" s="3">
        <v>15.0</v>
      </c>
      <c r="F3" s="3">
        <v>25.0</v>
      </c>
      <c r="G3" s="3">
        <v>375.0</v>
      </c>
      <c r="H3" s="3">
        <v>400.0</v>
      </c>
      <c r="I3" s="3" t="s">
        <v>12</v>
      </c>
      <c r="K3" s="4" t="s">
        <v>47</v>
      </c>
      <c r="L3" s="5">
        <f>MIN(F2:F16)</f>
        <v>20</v>
      </c>
    </row>
    <row r="4" ht="14.25" customHeight="1">
      <c r="A4" s="2">
        <v>45662.0</v>
      </c>
      <c r="B4" s="3" t="s">
        <v>18</v>
      </c>
      <c r="C4" s="3" t="s">
        <v>19</v>
      </c>
      <c r="D4" s="3" t="s">
        <v>20</v>
      </c>
      <c r="E4" s="3">
        <v>8.0</v>
      </c>
      <c r="F4" s="3">
        <v>45.0</v>
      </c>
      <c r="G4" s="3">
        <v>360.0</v>
      </c>
      <c r="H4" s="3">
        <v>350.0</v>
      </c>
      <c r="I4" s="3" t="s">
        <v>12</v>
      </c>
      <c r="K4" s="4" t="s">
        <v>48</v>
      </c>
      <c r="L4" s="5">
        <f>MIN(G2:G16)</f>
        <v>150</v>
      </c>
    </row>
    <row r="5" ht="14.25" customHeight="1">
      <c r="A5" s="2">
        <v>45663.0</v>
      </c>
      <c r="B5" s="3" t="s">
        <v>22</v>
      </c>
      <c r="C5" s="3" t="s">
        <v>23</v>
      </c>
      <c r="D5" s="3" t="s">
        <v>24</v>
      </c>
      <c r="E5" s="3">
        <v>4.0</v>
      </c>
      <c r="F5" s="3">
        <v>220.0</v>
      </c>
      <c r="G5" s="3">
        <v>880.0</v>
      </c>
      <c r="H5" s="3">
        <v>900.0</v>
      </c>
      <c r="I5" s="3" t="s">
        <v>12</v>
      </c>
      <c r="K5" s="4" t="s">
        <v>49</v>
      </c>
      <c r="L5" s="5">
        <f>MIN(E2:E16)</f>
        <v>1</v>
      </c>
    </row>
    <row r="6" ht="14.25" customHeight="1">
      <c r="A6" s="2">
        <v>45664.0</v>
      </c>
      <c r="B6" s="3" t="s">
        <v>9</v>
      </c>
      <c r="C6" s="3" t="s">
        <v>25</v>
      </c>
      <c r="D6" s="3" t="s">
        <v>11</v>
      </c>
      <c r="E6" s="3">
        <v>2.0</v>
      </c>
      <c r="F6" s="3">
        <v>700.0</v>
      </c>
      <c r="G6" s="3">
        <v>1400.0</v>
      </c>
      <c r="H6" s="3">
        <v>1800.0</v>
      </c>
      <c r="I6" s="3" t="s">
        <v>26</v>
      </c>
    </row>
    <row r="7" ht="14.25" customHeight="1">
      <c r="A7" s="2">
        <v>45665.0</v>
      </c>
      <c r="B7" s="3" t="s">
        <v>14</v>
      </c>
      <c r="C7" s="3" t="s">
        <v>27</v>
      </c>
      <c r="D7" s="3" t="s">
        <v>16</v>
      </c>
      <c r="E7" s="3">
        <v>10.0</v>
      </c>
      <c r="F7" s="3">
        <v>25.0</v>
      </c>
      <c r="G7" s="3">
        <v>250.0</v>
      </c>
      <c r="H7" s="3">
        <v>300.0</v>
      </c>
      <c r="I7" s="3" t="s">
        <v>12</v>
      </c>
    </row>
    <row r="8" ht="14.25" customHeight="1">
      <c r="A8" s="2">
        <v>45666.0</v>
      </c>
      <c r="B8" s="3" t="s">
        <v>18</v>
      </c>
      <c r="C8" s="3" t="s">
        <v>28</v>
      </c>
      <c r="D8" s="3" t="s">
        <v>20</v>
      </c>
      <c r="E8" s="3">
        <v>6.0</v>
      </c>
      <c r="F8" s="3">
        <v>50.0</v>
      </c>
      <c r="G8" s="3">
        <v>300.0</v>
      </c>
      <c r="H8" s="3">
        <v>400.0</v>
      </c>
      <c r="I8" s="3" t="s">
        <v>12</v>
      </c>
    </row>
    <row r="9" ht="14.25" customHeight="1">
      <c r="A9" s="2">
        <v>45667.0</v>
      </c>
      <c r="B9" s="3" t="s">
        <v>22</v>
      </c>
      <c r="C9" s="3" t="s">
        <v>29</v>
      </c>
      <c r="D9" s="3" t="s">
        <v>11</v>
      </c>
      <c r="E9" s="3">
        <v>1.0</v>
      </c>
      <c r="F9" s="3">
        <v>650.0</v>
      </c>
      <c r="G9" s="3">
        <v>650.0</v>
      </c>
      <c r="H9" s="3">
        <v>1000.0</v>
      </c>
      <c r="I9" s="3" t="s">
        <v>26</v>
      </c>
    </row>
    <row r="10" ht="14.25" customHeight="1">
      <c r="A10" s="2">
        <v>45668.0</v>
      </c>
      <c r="B10" s="3" t="s">
        <v>9</v>
      </c>
      <c r="C10" s="3" t="s">
        <v>30</v>
      </c>
      <c r="D10" s="3" t="s">
        <v>24</v>
      </c>
      <c r="E10" s="3">
        <v>5.0</v>
      </c>
      <c r="F10" s="3">
        <v>210.0</v>
      </c>
      <c r="G10" s="3">
        <v>1050.0</v>
      </c>
      <c r="H10" s="3">
        <v>900.0</v>
      </c>
      <c r="I10" s="3" t="s">
        <v>12</v>
      </c>
    </row>
    <row r="11" ht="14.25" customHeight="1">
      <c r="A11" s="2">
        <v>45669.0</v>
      </c>
      <c r="B11" s="3" t="s">
        <v>14</v>
      </c>
      <c r="C11" s="3" t="s">
        <v>31</v>
      </c>
      <c r="D11" s="3" t="s">
        <v>16</v>
      </c>
      <c r="E11" s="3"/>
      <c r="F11" s="3">
        <v>20.0</v>
      </c>
      <c r="G11" s="3"/>
      <c r="H11" s="3">
        <v>250.0</v>
      </c>
      <c r="I11" s="3" t="s">
        <v>26</v>
      </c>
    </row>
    <row r="12" ht="14.25" customHeight="1">
      <c r="A12" s="2">
        <v>45670.0</v>
      </c>
      <c r="B12" s="3" t="s">
        <v>18</v>
      </c>
      <c r="C12" s="3" t="s">
        <v>32</v>
      </c>
      <c r="D12" s="3" t="s">
        <v>20</v>
      </c>
      <c r="E12" s="3">
        <v>9.0</v>
      </c>
      <c r="F12" s="3">
        <v>40.0</v>
      </c>
      <c r="G12" s="3">
        <v>360.0</v>
      </c>
      <c r="H12" s="3">
        <v>350.0</v>
      </c>
      <c r="I12" s="3" t="s">
        <v>12</v>
      </c>
    </row>
    <row r="13" ht="14.25" customHeight="1">
      <c r="A13" s="2">
        <v>45671.0</v>
      </c>
      <c r="B13" s="3" t="s">
        <v>22</v>
      </c>
      <c r="C13" s="3" t="s">
        <v>33</v>
      </c>
      <c r="D13" s="3" t="s">
        <v>11</v>
      </c>
      <c r="E13" s="3">
        <v>2.0</v>
      </c>
      <c r="F13" s="3">
        <v>700.0</v>
      </c>
      <c r="G13" s="3">
        <v>1400.0</v>
      </c>
      <c r="H13" s="3">
        <v>1300.0</v>
      </c>
      <c r="I13" s="3" t="s">
        <v>12</v>
      </c>
    </row>
    <row r="14" ht="14.25" customHeight="1">
      <c r="A14" s="2">
        <v>45672.0</v>
      </c>
      <c r="B14" s="3" t="s">
        <v>9</v>
      </c>
      <c r="C14" s="3" t="s">
        <v>34</v>
      </c>
      <c r="D14" s="3" t="s">
        <v>16</v>
      </c>
      <c r="E14" s="3">
        <v>5.0</v>
      </c>
      <c r="F14" s="3">
        <v>30.0</v>
      </c>
      <c r="G14" s="3">
        <v>150.0</v>
      </c>
      <c r="H14" s="3">
        <v>200.0</v>
      </c>
      <c r="I14" s="3" t="s">
        <v>12</v>
      </c>
    </row>
    <row r="15" ht="14.25" customHeight="1">
      <c r="A15" s="2">
        <v>45673.0</v>
      </c>
      <c r="B15" s="3" t="s">
        <v>14</v>
      </c>
      <c r="C15" s="3" t="s">
        <v>35</v>
      </c>
      <c r="D15" s="3" t="s">
        <v>24</v>
      </c>
      <c r="E15" s="3">
        <v>3.0</v>
      </c>
      <c r="F15" s="3">
        <v>230.0</v>
      </c>
      <c r="G15" s="3">
        <v>690.0</v>
      </c>
      <c r="H15" s="3">
        <v>900.0</v>
      </c>
      <c r="I15" s="3" t="s">
        <v>26</v>
      </c>
    </row>
    <row r="16" ht="14.25" customHeight="1">
      <c r="A16" s="2">
        <v>45674.0</v>
      </c>
      <c r="B16" s="3" t="s">
        <v>18</v>
      </c>
      <c r="C16" s="3" t="s">
        <v>36</v>
      </c>
      <c r="D16" s="3" t="s">
        <v>20</v>
      </c>
      <c r="E16" s="3"/>
      <c r="F16" s="3"/>
      <c r="G16" s="3"/>
      <c r="H16" s="3">
        <v>300.0</v>
      </c>
      <c r="I16" s="3" t="s">
        <v>12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71"/>
    <col customWidth="1" min="3" max="3" width="12.0"/>
    <col customWidth="1" min="4" max="4" width="10.86"/>
    <col customWidth="1" min="5" max="5" width="12.14"/>
    <col customWidth="1" min="6" max="10" width="8.71"/>
    <col customWidth="1" min="11" max="11" width="18.43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45660.0</v>
      </c>
      <c r="B2" s="3" t="s">
        <v>9</v>
      </c>
      <c r="C2" s="3" t="s">
        <v>10</v>
      </c>
      <c r="D2" s="3" t="s">
        <v>11</v>
      </c>
      <c r="E2" s="3">
        <v>3.0</v>
      </c>
      <c r="F2" s="3">
        <v>650.0</v>
      </c>
      <c r="G2" s="3">
        <v>1950.0</v>
      </c>
      <c r="H2" s="3">
        <v>1800.0</v>
      </c>
      <c r="I2" s="3" t="s">
        <v>12</v>
      </c>
    </row>
    <row r="3" ht="14.25" customHeight="1">
      <c r="A3" s="2">
        <v>45661.0</v>
      </c>
      <c r="B3" s="3" t="s">
        <v>14</v>
      </c>
      <c r="C3" s="3" t="s">
        <v>15</v>
      </c>
      <c r="D3" s="3" t="s">
        <v>16</v>
      </c>
      <c r="E3" s="3">
        <v>15.0</v>
      </c>
      <c r="F3" s="3">
        <v>25.0</v>
      </c>
      <c r="G3" s="3">
        <v>375.0</v>
      </c>
      <c r="H3" s="3">
        <v>400.0</v>
      </c>
      <c r="I3" s="3" t="s">
        <v>12</v>
      </c>
      <c r="K3" s="4" t="s">
        <v>50</v>
      </c>
      <c r="L3" s="5">
        <f>MAX(E2:E16)</f>
        <v>15</v>
      </c>
    </row>
    <row r="4" ht="14.25" customHeight="1">
      <c r="A4" s="2">
        <v>45662.0</v>
      </c>
      <c r="B4" s="3" t="s">
        <v>18</v>
      </c>
      <c r="C4" s="3" t="s">
        <v>19</v>
      </c>
      <c r="D4" s="3" t="s">
        <v>20</v>
      </c>
      <c r="E4" s="3">
        <v>8.0</v>
      </c>
      <c r="F4" s="3">
        <v>45.0</v>
      </c>
      <c r="G4" s="3">
        <v>360.0</v>
      </c>
      <c r="H4" s="3">
        <v>350.0</v>
      </c>
      <c r="I4" s="3" t="s">
        <v>12</v>
      </c>
      <c r="K4" s="4" t="s">
        <v>51</v>
      </c>
      <c r="L4" s="5">
        <f>MAX(G2:G16)</f>
        <v>1950</v>
      </c>
    </row>
    <row r="5" ht="14.25" customHeight="1">
      <c r="A5" s="2">
        <v>45663.0</v>
      </c>
      <c r="B5" s="3" t="s">
        <v>22</v>
      </c>
      <c r="C5" s="3" t="s">
        <v>23</v>
      </c>
      <c r="D5" s="3" t="s">
        <v>24</v>
      </c>
      <c r="E5" s="3">
        <v>4.0</v>
      </c>
      <c r="F5" s="3">
        <v>220.0</v>
      </c>
      <c r="G5" s="3">
        <v>880.0</v>
      </c>
      <c r="H5" s="3">
        <v>900.0</v>
      </c>
      <c r="I5" s="3" t="s">
        <v>12</v>
      </c>
    </row>
    <row r="6" ht="14.25" customHeight="1">
      <c r="A6" s="2">
        <v>45664.0</v>
      </c>
      <c r="B6" s="3" t="s">
        <v>9</v>
      </c>
      <c r="C6" s="3" t="s">
        <v>25</v>
      </c>
      <c r="D6" s="3" t="s">
        <v>11</v>
      </c>
      <c r="E6" s="3">
        <v>2.0</v>
      </c>
      <c r="F6" s="3">
        <v>700.0</v>
      </c>
      <c r="G6" s="3">
        <v>1400.0</v>
      </c>
      <c r="H6" s="3">
        <v>1800.0</v>
      </c>
      <c r="I6" s="3" t="s">
        <v>26</v>
      </c>
    </row>
    <row r="7" ht="14.25" customHeight="1">
      <c r="A7" s="2">
        <v>45665.0</v>
      </c>
      <c r="B7" s="3" t="s">
        <v>14</v>
      </c>
      <c r="C7" s="3" t="s">
        <v>27</v>
      </c>
      <c r="D7" s="3" t="s">
        <v>16</v>
      </c>
      <c r="E7" s="3">
        <v>10.0</v>
      </c>
      <c r="F7" s="3">
        <v>25.0</v>
      </c>
      <c r="G7" s="3">
        <v>250.0</v>
      </c>
      <c r="H7" s="3">
        <v>300.0</v>
      </c>
      <c r="I7" s="3" t="s">
        <v>12</v>
      </c>
    </row>
    <row r="8" ht="14.25" customHeight="1">
      <c r="A8" s="2">
        <v>45666.0</v>
      </c>
      <c r="B8" s="3" t="s">
        <v>18</v>
      </c>
      <c r="C8" s="3" t="s">
        <v>28</v>
      </c>
      <c r="D8" s="3" t="s">
        <v>20</v>
      </c>
      <c r="E8" s="3">
        <v>6.0</v>
      </c>
      <c r="F8" s="3">
        <v>50.0</v>
      </c>
      <c r="G8" s="3">
        <v>300.0</v>
      </c>
      <c r="H8" s="3">
        <v>400.0</v>
      </c>
      <c r="I8" s="3" t="s">
        <v>12</v>
      </c>
    </row>
    <row r="9" ht="14.25" customHeight="1">
      <c r="A9" s="2">
        <v>45667.0</v>
      </c>
      <c r="B9" s="3" t="s">
        <v>22</v>
      </c>
      <c r="C9" s="3" t="s">
        <v>29</v>
      </c>
      <c r="D9" s="3" t="s">
        <v>11</v>
      </c>
      <c r="E9" s="3">
        <v>1.0</v>
      </c>
      <c r="F9" s="3">
        <v>650.0</v>
      </c>
      <c r="G9" s="3">
        <v>650.0</v>
      </c>
      <c r="H9" s="3">
        <v>1000.0</v>
      </c>
      <c r="I9" s="3" t="s">
        <v>26</v>
      </c>
    </row>
    <row r="10" ht="14.25" customHeight="1">
      <c r="A10" s="2">
        <v>45668.0</v>
      </c>
      <c r="B10" s="3" t="s">
        <v>9</v>
      </c>
      <c r="C10" s="3" t="s">
        <v>30</v>
      </c>
      <c r="D10" s="3" t="s">
        <v>24</v>
      </c>
      <c r="E10" s="3">
        <v>5.0</v>
      </c>
      <c r="F10" s="3">
        <v>210.0</v>
      </c>
      <c r="G10" s="3">
        <v>1050.0</v>
      </c>
      <c r="H10" s="3">
        <v>900.0</v>
      </c>
      <c r="I10" s="3" t="s">
        <v>12</v>
      </c>
    </row>
    <row r="11" ht="14.25" customHeight="1">
      <c r="A11" s="2">
        <v>45669.0</v>
      </c>
      <c r="B11" s="3" t="s">
        <v>14</v>
      </c>
      <c r="C11" s="3" t="s">
        <v>31</v>
      </c>
      <c r="D11" s="3" t="s">
        <v>16</v>
      </c>
      <c r="E11" s="3"/>
      <c r="F11" s="3">
        <v>20.0</v>
      </c>
      <c r="G11" s="3"/>
      <c r="H11" s="3">
        <v>250.0</v>
      </c>
      <c r="I11" s="3" t="s">
        <v>26</v>
      </c>
    </row>
    <row r="12" ht="14.25" customHeight="1">
      <c r="A12" s="2">
        <v>45670.0</v>
      </c>
      <c r="B12" s="3" t="s">
        <v>18</v>
      </c>
      <c r="C12" s="3" t="s">
        <v>32</v>
      </c>
      <c r="D12" s="3" t="s">
        <v>20</v>
      </c>
      <c r="E12" s="3">
        <v>9.0</v>
      </c>
      <c r="F12" s="3">
        <v>40.0</v>
      </c>
      <c r="G12" s="3">
        <v>360.0</v>
      </c>
      <c r="H12" s="3">
        <v>350.0</v>
      </c>
      <c r="I12" s="3" t="s">
        <v>12</v>
      </c>
    </row>
    <row r="13" ht="14.25" customHeight="1">
      <c r="A13" s="2">
        <v>45671.0</v>
      </c>
      <c r="B13" s="3" t="s">
        <v>22</v>
      </c>
      <c r="C13" s="3" t="s">
        <v>33</v>
      </c>
      <c r="D13" s="3" t="s">
        <v>11</v>
      </c>
      <c r="E13" s="3">
        <v>2.0</v>
      </c>
      <c r="F13" s="3">
        <v>700.0</v>
      </c>
      <c r="G13" s="3">
        <v>1400.0</v>
      </c>
      <c r="H13" s="3">
        <v>1300.0</v>
      </c>
      <c r="I13" s="3" t="s">
        <v>12</v>
      </c>
    </row>
    <row r="14" ht="14.25" customHeight="1">
      <c r="A14" s="2">
        <v>45672.0</v>
      </c>
      <c r="B14" s="3" t="s">
        <v>9</v>
      </c>
      <c r="C14" s="3" t="s">
        <v>34</v>
      </c>
      <c r="D14" s="3" t="s">
        <v>16</v>
      </c>
      <c r="E14" s="3">
        <v>5.0</v>
      </c>
      <c r="F14" s="3">
        <v>30.0</v>
      </c>
      <c r="G14" s="3">
        <v>150.0</v>
      </c>
      <c r="H14" s="3">
        <v>200.0</v>
      </c>
      <c r="I14" s="3" t="s">
        <v>12</v>
      </c>
    </row>
    <row r="15" ht="14.25" customHeight="1">
      <c r="A15" s="2">
        <v>45673.0</v>
      </c>
      <c r="B15" s="3" t="s">
        <v>14</v>
      </c>
      <c r="C15" s="3" t="s">
        <v>35</v>
      </c>
      <c r="D15" s="3" t="s">
        <v>24</v>
      </c>
      <c r="E15" s="3">
        <v>3.0</v>
      </c>
      <c r="F15" s="3">
        <v>230.0</v>
      </c>
      <c r="G15" s="3">
        <v>690.0</v>
      </c>
      <c r="H15" s="3">
        <v>900.0</v>
      </c>
      <c r="I15" s="3" t="s">
        <v>26</v>
      </c>
    </row>
    <row r="16" ht="14.25" customHeight="1">
      <c r="A16" s="2">
        <v>45674.0</v>
      </c>
      <c r="B16" s="3" t="s">
        <v>18</v>
      </c>
      <c r="C16" s="3" t="s">
        <v>36</v>
      </c>
      <c r="D16" s="3" t="s">
        <v>20</v>
      </c>
      <c r="E16" s="3"/>
      <c r="F16" s="3"/>
      <c r="G16" s="3"/>
      <c r="H16" s="3">
        <v>300.0</v>
      </c>
      <c r="I16" s="3" t="s">
        <v>12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71"/>
    <col customWidth="1" min="3" max="3" width="12.0"/>
    <col customWidth="1" min="4" max="4" width="9.71"/>
    <col customWidth="1" min="5" max="5" width="12.14"/>
    <col customWidth="1" min="6" max="10" width="8.71"/>
    <col customWidth="1" min="11" max="11" width="17.0"/>
    <col customWidth="1" min="12" max="12" width="16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52</v>
      </c>
      <c r="L1" s="4" t="s">
        <v>53</v>
      </c>
    </row>
    <row r="2" ht="14.25" customHeight="1">
      <c r="A2" s="2">
        <v>45660.0</v>
      </c>
      <c r="B2" s="3" t="s">
        <v>9</v>
      </c>
      <c r="C2" s="3" t="s">
        <v>10</v>
      </c>
      <c r="D2" s="3" t="s">
        <v>11</v>
      </c>
      <c r="E2" s="3">
        <v>3.0</v>
      </c>
      <c r="F2" s="3">
        <v>650.0</v>
      </c>
      <c r="G2" s="3">
        <v>1950.0</v>
      </c>
      <c r="H2" s="3">
        <v>1800.0</v>
      </c>
      <c r="I2" s="3" t="s">
        <v>12</v>
      </c>
      <c r="K2" s="4">
        <f t="shared" ref="K2:K16" si="1">LEN(B2)</f>
        <v>5</v>
      </c>
      <c r="L2" s="7">
        <f t="shared" ref="L2:L16" si="2">LEN(D2)</f>
        <v>6</v>
      </c>
    </row>
    <row r="3" ht="14.25" customHeight="1">
      <c r="A3" s="2">
        <v>45661.0</v>
      </c>
      <c r="B3" s="3" t="s">
        <v>14</v>
      </c>
      <c r="C3" s="3" t="s">
        <v>15</v>
      </c>
      <c r="D3" s="3" t="s">
        <v>16</v>
      </c>
      <c r="E3" s="3">
        <v>15.0</v>
      </c>
      <c r="F3" s="3">
        <v>25.0</v>
      </c>
      <c r="G3" s="3">
        <v>375.0</v>
      </c>
      <c r="H3" s="3">
        <v>400.0</v>
      </c>
      <c r="I3" s="3" t="s">
        <v>12</v>
      </c>
      <c r="K3" s="4">
        <f t="shared" si="1"/>
        <v>4</v>
      </c>
      <c r="L3" s="7">
        <f t="shared" si="2"/>
        <v>5</v>
      </c>
    </row>
    <row r="4" ht="14.25" customHeight="1">
      <c r="A4" s="2">
        <v>45662.0</v>
      </c>
      <c r="B4" s="3" t="s">
        <v>18</v>
      </c>
      <c r="C4" s="3" t="s">
        <v>19</v>
      </c>
      <c r="D4" s="3" t="s">
        <v>20</v>
      </c>
      <c r="E4" s="3">
        <v>8.0</v>
      </c>
      <c r="F4" s="3">
        <v>45.0</v>
      </c>
      <c r="G4" s="3">
        <v>360.0</v>
      </c>
      <c r="H4" s="3">
        <v>350.0</v>
      </c>
      <c r="I4" s="3" t="s">
        <v>12</v>
      </c>
      <c r="K4" s="4">
        <f t="shared" si="1"/>
        <v>5</v>
      </c>
      <c r="L4" s="7">
        <f t="shared" si="2"/>
        <v>8</v>
      </c>
    </row>
    <row r="5" ht="14.25" customHeight="1">
      <c r="A5" s="2">
        <v>45663.0</v>
      </c>
      <c r="B5" s="8" t="s">
        <v>22</v>
      </c>
      <c r="C5" s="3" t="s">
        <v>23</v>
      </c>
      <c r="D5" s="3" t="s">
        <v>24</v>
      </c>
      <c r="E5" s="3">
        <v>4.0</v>
      </c>
      <c r="F5" s="3">
        <v>220.0</v>
      </c>
      <c r="G5" s="3">
        <v>880.0</v>
      </c>
      <c r="H5" s="3">
        <v>900.0</v>
      </c>
      <c r="I5" s="3" t="s">
        <v>12</v>
      </c>
      <c r="K5" s="4">
        <f t="shared" si="1"/>
        <v>4</v>
      </c>
      <c r="L5" s="7">
        <f t="shared" si="2"/>
        <v>7</v>
      </c>
    </row>
    <row r="6" ht="14.25" customHeight="1">
      <c r="A6" s="2">
        <v>45664.0</v>
      </c>
      <c r="B6" s="8" t="s">
        <v>54</v>
      </c>
      <c r="C6" s="3" t="s">
        <v>25</v>
      </c>
      <c r="D6" s="3" t="s">
        <v>11</v>
      </c>
      <c r="E6" s="3">
        <v>2.0</v>
      </c>
      <c r="F6" s="3">
        <v>700.0</v>
      </c>
      <c r="G6" s="3">
        <v>1400.0</v>
      </c>
      <c r="H6" s="3">
        <v>1800.0</v>
      </c>
      <c r="I6" s="3" t="s">
        <v>26</v>
      </c>
      <c r="K6" s="4">
        <f t="shared" si="1"/>
        <v>17</v>
      </c>
      <c r="L6" s="7">
        <f t="shared" si="2"/>
        <v>6</v>
      </c>
    </row>
    <row r="7" ht="14.25" customHeight="1">
      <c r="A7" s="2">
        <v>45665.0</v>
      </c>
      <c r="B7" s="3" t="s">
        <v>14</v>
      </c>
      <c r="C7" s="3" t="s">
        <v>27</v>
      </c>
      <c r="D7" s="8" t="s">
        <v>55</v>
      </c>
      <c r="E7" s="3">
        <v>10.0</v>
      </c>
      <c r="F7" s="3">
        <v>25.0</v>
      </c>
      <c r="G7" s="3">
        <v>250.0</v>
      </c>
      <c r="H7" s="3">
        <v>300.0</v>
      </c>
      <c r="I7" s="3" t="s">
        <v>12</v>
      </c>
      <c r="K7" s="4">
        <f t="shared" si="1"/>
        <v>4</v>
      </c>
      <c r="L7" s="7">
        <f t="shared" si="2"/>
        <v>9</v>
      </c>
    </row>
    <row r="8" ht="14.25" customHeight="1">
      <c r="A8" s="2">
        <v>45666.0</v>
      </c>
      <c r="B8" s="3" t="s">
        <v>18</v>
      </c>
      <c r="C8" s="3" t="s">
        <v>28</v>
      </c>
      <c r="D8" s="8" t="s">
        <v>56</v>
      </c>
      <c r="E8" s="3">
        <v>6.0</v>
      </c>
      <c r="F8" s="3">
        <v>50.0</v>
      </c>
      <c r="G8" s="3">
        <v>300.0</v>
      </c>
      <c r="H8" s="3">
        <v>400.0</v>
      </c>
      <c r="I8" s="3" t="s">
        <v>12</v>
      </c>
      <c r="K8" s="4">
        <f t="shared" si="1"/>
        <v>5</v>
      </c>
      <c r="L8" s="7">
        <f t="shared" si="2"/>
        <v>16</v>
      </c>
    </row>
    <row r="9" ht="14.25" customHeight="1">
      <c r="A9" s="2">
        <v>45667.0</v>
      </c>
      <c r="B9" s="3" t="s">
        <v>22</v>
      </c>
      <c r="C9" s="3" t="s">
        <v>29</v>
      </c>
      <c r="D9" s="3" t="s">
        <v>11</v>
      </c>
      <c r="E9" s="3">
        <v>1.0</v>
      </c>
      <c r="F9" s="3">
        <v>650.0</v>
      </c>
      <c r="G9" s="3">
        <v>650.0</v>
      </c>
      <c r="H9" s="3">
        <v>1000.0</v>
      </c>
      <c r="I9" s="3" t="s">
        <v>26</v>
      </c>
      <c r="K9" s="4">
        <f t="shared" si="1"/>
        <v>4</v>
      </c>
      <c r="L9" s="7">
        <f t="shared" si="2"/>
        <v>6</v>
      </c>
    </row>
    <row r="10" ht="14.25" customHeight="1">
      <c r="A10" s="2">
        <v>45668.0</v>
      </c>
      <c r="B10" s="3" t="s">
        <v>9</v>
      </c>
      <c r="C10" s="3" t="s">
        <v>30</v>
      </c>
      <c r="D10" s="8" t="s">
        <v>57</v>
      </c>
      <c r="E10" s="3">
        <v>5.0</v>
      </c>
      <c r="F10" s="3">
        <v>210.0</v>
      </c>
      <c r="G10" s="3">
        <v>1050.0</v>
      </c>
      <c r="H10" s="3">
        <v>900.0</v>
      </c>
      <c r="I10" s="3" t="s">
        <v>12</v>
      </c>
      <c r="K10" s="4">
        <f t="shared" si="1"/>
        <v>5</v>
      </c>
      <c r="L10" s="7">
        <f t="shared" si="2"/>
        <v>10</v>
      </c>
    </row>
    <row r="11" ht="14.25" customHeight="1">
      <c r="A11" s="2">
        <v>45669.0</v>
      </c>
      <c r="B11" s="8" t="s">
        <v>58</v>
      </c>
      <c r="C11" s="3" t="s">
        <v>31</v>
      </c>
      <c r="D11" s="3" t="s">
        <v>16</v>
      </c>
      <c r="E11" s="3"/>
      <c r="F11" s="3">
        <v>20.0</v>
      </c>
      <c r="G11" s="3"/>
      <c r="H11" s="3">
        <v>250.0</v>
      </c>
      <c r="I11" s="3" t="s">
        <v>26</v>
      </c>
      <c r="K11" s="4">
        <f t="shared" si="1"/>
        <v>9</v>
      </c>
      <c r="L11" s="7">
        <f t="shared" si="2"/>
        <v>5</v>
      </c>
    </row>
    <row r="12" ht="14.25" customHeight="1">
      <c r="A12" s="2">
        <v>45670.0</v>
      </c>
      <c r="B12" s="3" t="s">
        <v>18</v>
      </c>
      <c r="C12" s="3" t="s">
        <v>32</v>
      </c>
      <c r="D12" s="3" t="s">
        <v>20</v>
      </c>
      <c r="E12" s="3">
        <v>9.0</v>
      </c>
      <c r="F12" s="3">
        <v>40.0</v>
      </c>
      <c r="G12" s="3">
        <v>360.0</v>
      </c>
      <c r="H12" s="3">
        <v>350.0</v>
      </c>
      <c r="I12" s="3" t="s">
        <v>12</v>
      </c>
      <c r="K12" s="4">
        <f t="shared" si="1"/>
        <v>5</v>
      </c>
      <c r="L12" s="7">
        <f t="shared" si="2"/>
        <v>8</v>
      </c>
    </row>
    <row r="13" ht="14.25" customHeight="1">
      <c r="A13" s="2">
        <v>45671.0</v>
      </c>
      <c r="B13" s="8" t="s">
        <v>59</v>
      </c>
      <c r="C13" s="3" t="s">
        <v>33</v>
      </c>
      <c r="D13" s="8" t="s">
        <v>60</v>
      </c>
      <c r="E13" s="3">
        <v>2.0</v>
      </c>
      <c r="F13" s="3">
        <v>700.0</v>
      </c>
      <c r="G13" s="3">
        <v>1400.0</v>
      </c>
      <c r="H13" s="3">
        <v>1300.0</v>
      </c>
      <c r="I13" s="3" t="s">
        <v>12</v>
      </c>
      <c r="K13" s="4">
        <f t="shared" si="1"/>
        <v>12</v>
      </c>
      <c r="L13" s="7">
        <f t="shared" si="2"/>
        <v>14</v>
      </c>
    </row>
    <row r="14" ht="14.25" customHeight="1">
      <c r="A14" s="2">
        <v>45672.0</v>
      </c>
      <c r="B14" s="3" t="s">
        <v>9</v>
      </c>
      <c r="C14" s="3" t="s">
        <v>34</v>
      </c>
      <c r="D14" s="3" t="s">
        <v>16</v>
      </c>
      <c r="E14" s="3">
        <v>5.0</v>
      </c>
      <c r="F14" s="3">
        <v>30.0</v>
      </c>
      <c r="G14" s="3">
        <v>150.0</v>
      </c>
      <c r="H14" s="3">
        <v>200.0</v>
      </c>
      <c r="I14" s="3" t="s">
        <v>12</v>
      </c>
      <c r="K14" s="4">
        <f t="shared" si="1"/>
        <v>5</v>
      </c>
      <c r="L14" s="7">
        <f t="shared" si="2"/>
        <v>5</v>
      </c>
    </row>
    <row r="15" ht="14.25" customHeight="1">
      <c r="A15" s="2">
        <v>45673.0</v>
      </c>
      <c r="B15" s="3" t="s">
        <v>14</v>
      </c>
      <c r="C15" s="3" t="s">
        <v>35</v>
      </c>
      <c r="D15" s="3" t="s">
        <v>24</v>
      </c>
      <c r="E15" s="3">
        <v>3.0</v>
      </c>
      <c r="F15" s="3">
        <v>230.0</v>
      </c>
      <c r="G15" s="3">
        <v>690.0</v>
      </c>
      <c r="H15" s="3">
        <v>900.0</v>
      </c>
      <c r="I15" s="3" t="s">
        <v>26</v>
      </c>
      <c r="K15" s="4">
        <f t="shared" si="1"/>
        <v>4</v>
      </c>
      <c r="L15" s="7">
        <f t="shared" si="2"/>
        <v>7</v>
      </c>
    </row>
    <row r="16" ht="14.25" customHeight="1">
      <c r="A16" s="2">
        <v>45674.0</v>
      </c>
      <c r="B16" s="3" t="s">
        <v>18</v>
      </c>
      <c r="C16" s="3" t="s">
        <v>36</v>
      </c>
      <c r="D16" s="3" t="s">
        <v>20</v>
      </c>
      <c r="E16" s="3"/>
      <c r="F16" s="3"/>
      <c r="G16" s="3"/>
      <c r="H16" s="3">
        <v>300.0</v>
      </c>
      <c r="I16" s="3" t="s">
        <v>12</v>
      </c>
      <c r="K16" s="4">
        <f t="shared" si="1"/>
        <v>5</v>
      </c>
      <c r="L16" s="7">
        <f t="shared" si="2"/>
        <v>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71"/>
    <col customWidth="1" min="3" max="3" width="12.0"/>
    <col customWidth="1" min="4" max="4" width="9.71"/>
    <col customWidth="1" min="5" max="5" width="12.14"/>
    <col customWidth="1" min="6" max="10" width="8.71"/>
    <col customWidth="1" min="11" max="11" width="17.0"/>
    <col customWidth="1" min="12" max="12" width="16.0"/>
    <col customWidth="1" min="13" max="13" width="13.43"/>
    <col customWidth="1" min="14" max="14" width="15.29"/>
    <col customWidth="1" min="15" max="15" width="22.43"/>
    <col customWidth="1" min="16" max="16" width="23.29"/>
    <col customWidth="1" min="1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52</v>
      </c>
      <c r="L1" s="4" t="s">
        <v>53</v>
      </c>
      <c r="M1" s="4" t="s">
        <v>61</v>
      </c>
      <c r="N1" s="4" t="s">
        <v>62</v>
      </c>
      <c r="O1" s="4" t="s">
        <v>63</v>
      </c>
      <c r="P1" s="4" t="s">
        <v>64</v>
      </c>
    </row>
    <row r="2" ht="14.25" customHeight="1">
      <c r="A2" s="2">
        <v>45660.0</v>
      </c>
      <c r="B2" s="3" t="s">
        <v>9</v>
      </c>
      <c r="C2" s="3" t="s">
        <v>10</v>
      </c>
      <c r="D2" s="3" t="s">
        <v>11</v>
      </c>
      <c r="E2" s="3">
        <v>3.0</v>
      </c>
      <c r="F2" s="3">
        <v>650.0</v>
      </c>
      <c r="G2" s="3">
        <v>1950.0</v>
      </c>
      <c r="H2" s="3">
        <v>1800.0</v>
      </c>
      <c r="I2" s="3" t="s">
        <v>12</v>
      </c>
      <c r="K2" s="4">
        <f t="shared" ref="K2:K16" si="2">LEN(B2)</f>
        <v>5</v>
      </c>
      <c r="L2" s="7">
        <f t="shared" ref="L2:L16" si="3">LEN(D2)</f>
        <v>6</v>
      </c>
      <c r="M2" s="5" t="str">
        <f t="shared" ref="M2:M16" si="4">TRIM(B2)</f>
        <v>North</v>
      </c>
      <c r="N2" s="5" t="str">
        <f t="shared" ref="N2:N16" si="5">TRIM(D2)</f>
        <v>Laptop</v>
      </c>
      <c r="O2" s="5">
        <f t="shared" ref="O2:P2" si="1">LEN(M2)</f>
        <v>5</v>
      </c>
      <c r="P2" s="5">
        <f t="shared" si="1"/>
        <v>6</v>
      </c>
    </row>
    <row r="3" ht="14.25" customHeight="1">
      <c r="A3" s="2">
        <v>45661.0</v>
      </c>
      <c r="B3" s="3" t="s">
        <v>14</v>
      </c>
      <c r="C3" s="3" t="s">
        <v>15</v>
      </c>
      <c r="D3" s="3" t="s">
        <v>16</v>
      </c>
      <c r="E3" s="3">
        <v>15.0</v>
      </c>
      <c r="F3" s="3">
        <v>25.0</v>
      </c>
      <c r="G3" s="3">
        <v>375.0</v>
      </c>
      <c r="H3" s="3">
        <v>400.0</v>
      </c>
      <c r="I3" s="3" t="s">
        <v>12</v>
      </c>
      <c r="K3" s="4">
        <f t="shared" si="2"/>
        <v>4</v>
      </c>
      <c r="L3" s="7">
        <f t="shared" si="3"/>
        <v>5</v>
      </c>
      <c r="M3" s="5" t="str">
        <f t="shared" si="4"/>
        <v>East</v>
      </c>
      <c r="N3" s="5" t="str">
        <f t="shared" si="5"/>
        <v>Mouse</v>
      </c>
      <c r="O3" s="5">
        <f t="shared" ref="O3:P3" si="6">LEN(M3)</f>
        <v>4</v>
      </c>
      <c r="P3" s="5">
        <f t="shared" si="6"/>
        <v>5</v>
      </c>
    </row>
    <row r="4" ht="14.25" customHeight="1">
      <c r="A4" s="2">
        <v>45662.0</v>
      </c>
      <c r="B4" s="3" t="s">
        <v>18</v>
      </c>
      <c r="C4" s="3" t="s">
        <v>19</v>
      </c>
      <c r="D4" s="3" t="s">
        <v>20</v>
      </c>
      <c r="E4" s="3">
        <v>8.0</v>
      </c>
      <c r="F4" s="3">
        <v>45.0</v>
      </c>
      <c r="G4" s="3">
        <v>360.0</v>
      </c>
      <c r="H4" s="3">
        <v>350.0</v>
      </c>
      <c r="I4" s="3" t="s">
        <v>12</v>
      </c>
      <c r="K4" s="4">
        <f t="shared" si="2"/>
        <v>5</v>
      </c>
      <c r="L4" s="7">
        <f t="shared" si="3"/>
        <v>8</v>
      </c>
      <c r="M4" s="5" t="str">
        <f t="shared" si="4"/>
        <v>South</v>
      </c>
      <c r="N4" s="5" t="str">
        <f t="shared" si="5"/>
        <v>Keyboard</v>
      </c>
      <c r="O4" s="5">
        <f t="shared" ref="O4:P4" si="7">LEN(M4)</f>
        <v>5</v>
      </c>
      <c r="P4" s="5">
        <f t="shared" si="7"/>
        <v>8</v>
      </c>
    </row>
    <row r="5" ht="14.25" customHeight="1">
      <c r="A5" s="2">
        <v>45663.0</v>
      </c>
      <c r="B5" s="8" t="s">
        <v>22</v>
      </c>
      <c r="C5" s="3" t="s">
        <v>23</v>
      </c>
      <c r="D5" s="3" t="s">
        <v>24</v>
      </c>
      <c r="E5" s="3">
        <v>4.0</v>
      </c>
      <c r="F5" s="3">
        <v>220.0</v>
      </c>
      <c r="G5" s="3">
        <v>880.0</v>
      </c>
      <c r="H5" s="3">
        <v>900.0</v>
      </c>
      <c r="I5" s="3" t="s">
        <v>12</v>
      </c>
      <c r="K5" s="4">
        <f t="shared" si="2"/>
        <v>4</v>
      </c>
      <c r="L5" s="7">
        <f t="shared" si="3"/>
        <v>7</v>
      </c>
      <c r="M5" s="5" t="str">
        <f t="shared" si="4"/>
        <v>West</v>
      </c>
      <c r="N5" s="5" t="str">
        <f t="shared" si="5"/>
        <v>Monitor</v>
      </c>
      <c r="O5" s="5">
        <f t="shared" ref="O5:P5" si="8">LEN(M5)</f>
        <v>4</v>
      </c>
      <c r="P5" s="5">
        <f t="shared" si="8"/>
        <v>7</v>
      </c>
    </row>
    <row r="6" ht="14.25" customHeight="1">
      <c r="A6" s="2">
        <v>45664.0</v>
      </c>
      <c r="B6" s="8" t="s">
        <v>54</v>
      </c>
      <c r="C6" s="3" t="s">
        <v>25</v>
      </c>
      <c r="D6" s="3" t="s">
        <v>11</v>
      </c>
      <c r="E6" s="3">
        <v>2.0</v>
      </c>
      <c r="F6" s="3">
        <v>700.0</v>
      </c>
      <c r="G6" s="3">
        <v>1400.0</v>
      </c>
      <c r="H6" s="3">
        <v>1800.0</v>
      </c>
      <c r="I6" s="3" t="s">
        <v>26</v>
      </c>
      <c r="K6" s="4">
        <f t="shared" si="2"/>
        <v>17</v>
      </c>
      <c r="L6" s="7">
        <f t="shared" si="3"/>
        <v>6</v>
      </c>
      <c r="M6" s="5" t="str">
        <f t="shared" si="4"/>
        <v>North</v>
      </c>
      <c r="N6" s="5" t="str">
        <f t="shared" si="5"/>
        <v>Laptop</v>
      </c>
      <c r="O6" s="5">
        <f t="shared" ref="O6:P6" si="9">LEN(M6)</f>
        <v>5</v>
      </c>
      <c r="P6" s="5">
        <f t="shared" si="9"/>
        <v>6</v>
      </c>
    </row>
    <row r="7" ht="14.25" customHeight="1">
      <c r="A7" s="2">
        <v>45665.0</v>
      </c>
      <c r="B7" s="3" t="s">
        <v>14</v>
      </c>
      <c r="C7" s="3" t="s">
        <v>27</v>
      </c>
      <c r="D7" s="8" t="s">
        <v>55</v>
      </c>
      <c r="E7" s="3">
        <v>10.0</v>
      </c>
      <c r="F7" s="3">
        <v>25.0</v>
      </c>
      <c r="G7" s="3">
        <v>250.0</v>
      </c>
      <c r="H7" s="3">
        <v>300.0</v>
      </c>
      <c r="I7" s="3" t="s">
        <v>12</v>
      </c>
      <c r="K7" s="4">
        <f t="shared" si="2"/>
        <v>4</v>
      </c>
      <c r="L7" s="7">
        <f t="shared" si="3"/>
        <v>9</v>
      </c>
      <c r="M7" s="5" t="str">
        <f t="shared" si="4"/>
        <v>East</v>
      </c>
      <c r="N7" s="5" t="str">
        <f t="shared" si="5"/>
        <v>Mouse</v>
      </c>
      <c r="O7" s="5">
        <f t="shared" ref="O7:P7" si="10">LEN(M7)</f>
        <v>4</v>
      </c>
      <c r="P7" s="5">
        <f t="shared" si="10"/>
        <v>5</v>
      </c>
    </row>
    <row r="8" ht="14.25" customHeight="1">
      <c r="A8" s="2">
        <v>45666.0</v>
      </c>
      <c r="B8" s="3" t="s">
        <v>18</v>
      </c>
      <c r="C8" s="3" t="s">
        <v>28</v>
      </c>
      <c r="D8" s="8" t="s">
        <v>56</v>
      </c>
      <c r="E8" s="3">
        <v>6.0</v>
      </c>
      <c r="F8" s="3">
        <v>50.0</v>
      </c>
      <c r="G8" s="3">
        <v>300.0</v>
      </c>
      <c r="H8" s="3">
        <v>400.0</v>
      </c>
      <c r="I8" s="3" t="s">
        <v>12</v>
      </c>
      <c r="K8" s="4">
        <f t="shared" si="2"/>
        <v>5</v>
      </c>
      <c r="L8" s="7">
        <f t="shared" si="3"/>
        <v>16</v>
      </c>
      <c r="M8" s="5" t="str">
        <f t="shared" si="4"/>
        <v>South</v>
      </c>
      <c r="N8" s="5" t="str">
        <f t="shared" si="5"/>
        <v>Keyboard</v>
      </c>
      <c r="O8" s="5">
        <f t="shared" ref="O8:P8" si="11">LEN(M8)</f>
        <v>5</v>
      </c>
      <c r="P8" s="5">
        <f t="shared" si="11"/>
        <v>8</v>
      </c>
    </row>
    <row r="9" ht="14.25" customHeight="1">
      <c r="A9" s="2">
        <v>45667.0</v>
      </c>
      <c r="B9" s="3" t="s">
        <v>22</v>
      </c>
      <c r="C9" s="3" t="s">
        <v>29</v>
      </c>
      <c r="D9" s="3" t="s">
        <v>11</v>
      </c>
      <c r="E9" s="3">
        <v>1.0</v>
      </c>
      <c r="F9" s="3">
        <v>650.0</v>
      </c>
      <c r="G9" s="3">
        <v>650.0</v>
      </c>
      <c r="H9" s="3">
        <v>1000.0</v>
      </c>
      <c r="I9" s="3" t="s">
        <v>26</v>
      </c>
      <c r="K9" s="4">
        <f t="shared" si="2"/>
        <v>4</v>
      </c>
      <c r="L9" s="7">
        <f t="shared" si="3"/>
        <v>6</v>
      </c>
      <c r="M9" s="5" t="str">
        <f t="shared" si="4"/>
        <v>West</v>
      </c>
      <c r="N9" s="5" t="str">
        <f t="shared" si="5"/>
        <v>Laptop</v>
      </c>
      <c r="O9" s="5">
        <f t="shared" ref="O9:P9" si="12">LEN(M9)</f>
        <v>4</v>
      </c>
      <c r="P9" s="5">
        <f t="shared" si="12"/>
        <v>6</v>
      </c>
    </row>
    <row r="10" ht="14.25" customHeight="1">
      <c r="A10" s="2">
        <v>45668.0</v>
      </c>
      <c r="B10" s="3" t="s">
        <v>9</v>
      </c>
      <c r="C10" s="3" t="s">
        <v>30</v>
      </c>
      <c r="D10" s="8" t="s">
        <v>57</v>
      </c>
      <c r="E10" s="3">
        <v>5.0</v>
      </c>
      <c r="F10" s="3">
        <v>210.0</v>
      </c>
      <c r="G10" s="3">
        <v>1050.0</v>
      </c>
      <c r="H10" s="3">
        <v>900.0</v>
      </c>
      <c r="I10" s="3" t="s">
        <v>12</v>
      </c>
      <c r="K10" s="4">
        <f t="shared" si="2"/>
        <v>5</v>
      </c>
      <c r="L10" s="7">
        <f t="shared" si="3"/>
        <v>10</v>
      </c>
      <c r="M10" s="5" t="str">
        <f t="shared" si="4"/>
        <v>North</v>
      </c>
      <c r="N10" s="5" t="str">
        <f t="shared" si="5"/>
        <v>Monitor</v>
      </c>
      <c r="O10" s="5">
        <f t="shared" ref="O10:P10" si="13">LEN(M10)</f>
        <v>5</v>
      </c>
      <c r="P10" s="5">
        <f t="shared" si="13"/>
        <v>7</v>
      </c>
    </row>
    <row r="11" ht="14.25" customHeight="1">
      <c r="A11" s="2">
        <v>45669.0</v>
      </c>
      <c r="B11" s="8" t="s">
        <v>58</v>
      </c>
      <c r="C11" s="3" t="s">
        <v>31</v>
      </c>
      <c r="D11" s="3" t="s">
        <v>16</v>
      </c>
      <c r="E11" s="3"/>
      <c r="F11" s="3">
        <v>20.0</v>
      </c>
      <c r="G11" s="3"/>
      <c r="H11" s="3">
        <v>250.0</v>
      </c>
      <c r="I11" s="3" t="s">
        <v>26</v>
      </c>
      <c r="K11" s="4">
        <f t="shared" si="2"/>
        <v>9</v>
      </c>
      <c r="L11" s="7">
        <f t="shared" si="3"/>
        <v>5</v>
      </c>
      <c r="M11" s="5" t="str">
        <f t="shared" si="4"/>
        <v>East</v>
      </c>
      <c r="N11" s="5" t="str">
        <f t="shared" si="5"/>
        <v>Mouse</v>
      </c>
      <c r="O11" s="5">
        <f t="shared" ref="O11:P11" si="14">LEN(M11)</f>
        <v>4</v>
      </c>
      <c r="P11" s="5">
        <f t="shared" si="14"/>
        <v>5</v>
      </c>
    </row>
    <row r="12" ht="14.25" customHeight="1">
      <c r="A12" s="2">
        <v>45670.0</v>
      </c>
      <c r="B12" s="3" t="s">
        <v>18</v>
      </c>
      <c r="C12" s="3" t="s">
        <v>32</v>
      </c>
      <c r="D12" s="3" t="s">
        <v>20</v>
      </c>
      <c r="E12" s="3">
        <v>9.0</v>
      </c>
      <c r="F12" s="3">
        <v>40.0</v>
      </c>
      <c r="G12" s="3">
        <v>360.0</v>
      </c>
      <c r="H12" s="3">
        <v>350.0</v>
      </c>
      <c r="I12" s="3" t="s">
        <v>12</v>
      </c>
      <c r="K12" s="4">
        <f t="shared" si="2"/>
        <v>5</v>
      </c>
      <c r="L12" s="7">
        <f t="shared" si="3"/>
        <v>8</v>
      </c>
      <c r="M12" s="5" t="str">
        <f t="shared" si="4"/>
        <v>South</v>
      </c>
      <c r="N12" s="5" t="str">
        <f t="shared" si="5"/>
        <v>Keyboard</v>
      </c>
      <c r="O12" s="5">
        <f t="shared" ref="O12:P12" si="15">LEN(M12)</f>
        <v>5</v>
      </c>
      <c r="P12" s="5">
        <f t="shared" si="15"/>
        <v>8</v>
      </c>
    </row>
    <row r="13" ht="14.25" customHeight="1">
      <c r="A13" s="2">
        <v>45671.0</v>
      </c>
      <c r="B13" s="8" t="s">
        <v>59</v>
      </c>
      <c r="C13" s="3" t="s">
        <v>33</v>
      </c>
      <c r="D13" s="8" t="s">
        <v>60</v>
      </c>
      <c r="E13" s="3">
        <v>2.0</v>
      </c>
      <c r="F13" s="3">
        <v>700.0</v>
      </c>
      <c r="G13" s="3">
        <v>1400.0</v>
      </c>
      <c r="H13" s="3">
        <v>1300.0</v>
      </c>
      <c r="I13" s="3" t="s">
        <v>12</v>
      </c>
      <c r="K13" s="4">
        <f t="shared" si="2"/>
        <v>12</v>
      </c>
      <c r="L13" s="7">
        <f t="shared" si="3"/>
        <v>14</v>
      </c>
      <c r="M13" s="5" t="str">
        <f t="shared" si="4"/>
        <v>West</v>
      </c>
      <c r="N13" s="5" t="str">
        <f t="shared" si="5"/>
        <v>Laptop</v>
      </c>
      <c r="O13" s="5">
        <f t="shared" ref="O13:P13" si="16">LEN(M13)</f>
        <v>4</v>
      </c>
      <c r="P13" s="5">
        <f t="shared" si="16"/>
        <v>6</v>
      </c>
    </row>
    <row r="14" ht="14.25" customHeight="1">
      <c r="A14" s="2">
        <v>45672.0</v>
      </c>
      <c r="B14" s="3" t="s">
        <v>9</v>
      </c>
      <c r="C14" s="3" t="s">
        <v>34</v>
      </c>
      <c r="D14" s="3" t="s">
        <v>16</v>
      </c>
      <c r="E14" s="3">
        <v>5.0</v>
      </c>
      <c r="F14" s="3">
        <v>30.0</v>
      </c>
      <c r="G14" s="3">
        <v>150.0</v>
      </c>
      <c r="H14" s="3">
        <v>200.0</v>
      </c>
      <c r="I14" s="3" t="s">
        <v>12</v>
      </c>
      <c r="K14" s="4">
        <f t="shared" si="2"/>
        <v>5</v>
      </c>
      <c r="L14" s="7">
        <f t="shared" si="3"/>
        <v>5</v>
      </c>
      <c r="M14" s="5" t="str">
        <f t="shared" si="4"/>
        <v>North</v>
      </c>
      <c r="N14" s="5" t="str">
        <f t="shared" si="5"/>
        <v>Mouse</v>
      </c>
      <c r="O14" s="5">
        <f t="shared" ref="O14:P14" si="17">LEN(M14)</f>
        <v>5</v>
      </c>
      <c r="P14" s="5">
        <f t="shared" si="17"/>
        <v>5</v>
      </c>
    </row>
    <row r="15" ht="14.25" customHeight="1">
      <c r="A15" s="2">
        <v>45673.0</v>
      </c>
      <c r="B15" s="3" t="s">
        <v>14</v>
      </c>
      <c r="C15" s="3" t="s">
        <v>35</v>
      </c>
      <c r="D15" s="3" t="s">
        <v>24</v>
      </c>
      <c r="E15" s="3">
        <v>3.0</v>
      </c>
      <c r="F15" s="3">
        <v>230.0</v>
      </c>
      <c r="G15" s="3">
        <v>690.0</v>
      </c>
      <c r="H15" s="3">
        <v>900.0</v>
      </c>
      <c r="I15" s="3" t="s">
        <v>26</v>
      </c>
      <c r="K15" s="4">
        <f t="shared" si="2"/>
        <v>4</v>
      </c>
      <c r="L15" s="7">
        <f t="shared" si="3"/>
        <v>7</v>
      </c>
      <c r="M15" s="5" t="str">
        <f t="shared" si="4"/>
        <v>East</v>
      </c>
      <c r="N15" s="5" t="str">
        <f t="shared" si="5"/>
        <v>Monitor</v>
      </c>
      <c r="O15" s="5">
        <f t="shared" ref="O15:P15" si="18">LEN(M15)</f>
        <v>4</v>
      </c>
      <c r="P15" s="5">
        <f t="shared" si="18"/>
        <v>7</v>
      </c>
    </row>
    <row r="16" ht="14.25" customHeight="1">
      <c r="A16" s="2">
        <v>45674.0</v>
      </c>
      <c r="B16" s="3" t="s">
        <v>18</v>
      </c>
      <c r="C16" s="3" t="s">
        <v>36</v>
      </c>
      <c r="D16" s="3" t="s">
        <v>20</v>
      </c>
      <c r="E16" s="3"/>
      <c r="F16" s="3"/>
      <c r="G16" s="3"/>
      <c r="H16" s="3">
        <v>300.0</v>
      </c>
      <c r="I16" s="3" t="s">
        <v>12</v>
      </c>
      <c r="K16" s="4">
        <f t="shared" si="2"/>
        <v>5</v>
      </c>
      <c r="L16" s="7">
        <f t="shared" si="3"/>
        <v>8</v>
      </c>
      <c r="M16" s="5" t="str">
        <f t="shared" si="4"/>
        <v>South</v>
      </c>
      <c r="N16" s="5" t="str">
        <f t="shared" si="5"/>
        <v>Keyboard</v>
      </c>
      <c r="O16" s="5">
        <f t="shared" ref="O16:P16" si="19">LEN(M16)</f>
        <v>5</v>
      </c>
      <c r="P16" s="5">
        <f t="shared" si="19"/>
        <v>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</cp:coreProperties>
</file>